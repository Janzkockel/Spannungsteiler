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7.xml" ContentType="application/vnd.ms-excel.controlproperties+xml"/>
  <Override PartName="/xl/drawings/drawing6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8.xml" ContentType="application/vnd.ms-excel.controlproperties+xml"/>
  <Override PartName="/xl/ctrlProps/ctrlProp9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8" codeName="{3D1A710C-6663-3D7B-7F91-EC182F24A4B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Eigener Ordner\Schule,Beruflich\Spannungsteiler Niclas\"/>
    </mc:Choice>
  </mc:AlternateContent>
  <xr:revisionPtr revIDLastSave="0" documentId="8_{55F7BDD7-19B3-45C4-A2A5-55E7E8A233CA}" xr6:coauthVersionLast="36" xr6:coauthVersionMax="36" xr10:uidLastSave="{00000000-0000-0000-0000-000000000000}"/>
  <bookViews>
    <workbookView xWindow="0" yWindow="0" windowWidth="38400" windowHeight="17625" firstSheet="5" activeTab="5" xr2:uid="{674580FE-1F05-46BD-A712-2EB49EFC3C7E}"/>
  </bookViews>
  <sheets>
    <sheet name="unbelasteter Spannungsteiler 1" sheetId="1" r:id="rId1"/>
    <sheet name="unbelasteter Spannungsteiler 2" sheetId="3" r:id="rId2"/>
    <sheet name="unbelasteter Spannungsteiler 3" sheetId="4" r:id="rId3"/>
    <sheet name="belasteter Spannungsteiler 1" sheetId="6" r:id="rId4"/>
    <sheet name="belasteter Potentiometer 1" sheetId="7" r:id="rId5"/>
    <sheet name="belasteter Potentiometer 2" sheetId="8" r:id="rId6"/>
  </sheet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30" i="6" l="1"/>
  <c r="AG21" i="6"/>
  <c r="AJ21" i="6" s="1"/>
  <c r="AH21" i="6"/>
  <c r="AG22" i="6"/>
  <c r="AJ22" i="6" s="1"/>
  <c r="AH22" i="6"/>
  <c r="AG23" i="6"/>
  <c r="AJ23" i="6" s="1"/>
  <c r="AI23" i="6" s="1"/>
  <c r="AH23" i="6"/>
  <c r="AG24" i="6"/>
  <c r="AH24" i="6"/>
  <c r="AG25" i="6"/>
  <c r="AJ25" i="6" s="1"/>
  <c r="AH25" i="6"/>
  <c r="AG26" i="6"/>
  <c r="AJ26" i="6" s="1"/>
  <c r="AI26" i="6" s="1"/>
  <c r="AH26" i="6"/>
  <c r="AG27" i="6"/>
  <c r="AJ27" i="6" s="1"/>
  <c r="AH27" i="6"/>
  <c r="AG28" i="6"/>
  <c r="AH28" i="6"/>
  <c r="AG29" i="6"/>
  <c r="AJ29" i="6" s="1"/>
  <c r="AH29" i="6"/>
  <c r="AG20" i="6"/>
  <c r="AH20" i="6"/>
  <c r="Z6" i="8"/>
  <c r="AA6" i="8"/>
  <c r="Z7" i="8"/>
  <c r="AC7" i="8" s="1"/>
  <c r="AB7" i="8" s="1"/>
  <c r="AA7" i="8"/>
  <c r="Z8" i="8"/>
  <c r="AA8" i="8"/>
  <c r="Z9" i="8"/>
  <c r="AA9" i="8"/>
  <c r="Z10" i="8"/>
  <c r="AA10" i="8"/>
  <c r="Z11" i="8"/>
  <c r="AC11" i="8" s="1"/>
  <c r="AB11" i="8" s="1"/>
  <c r="AA11" i="8"/>
  <c r="Z12" i="8"/>
  <c r="AA12" i="8"/>
  <c r="Z13" i="8"/>
  <c r="AC13" i="8" s="1"/>
  <c r="AB13" i="8" s="1"/>
  <c r="AA13" i="8"/>
  <c r="Z14" i="8"/>
  <c r="AA14" i="8"/>
  <c r="Z5" i="8"/>
  <c r="AA5" i="8"/>
  <c r="AH19" i="6"/>
  <c r="AG19" i="6"/>
  <c r="AJ19" i="6" s="1"/>
  <c r="N9" i="4"/>
  <c r="N8" i="4"/>
  <c r="N7" i="4"/>
  <c r="N4" i="4"/>
  <c r="W9" i="6"/>
  <c r="W8" i="6"/>
  <c r="W7" i="6"/>
  <c r="W4" i="6"/>
  <c r="W10" i="6"/>
  <c r="E2" i="6" s="1"/>
  <c r="W3" i="6" s="1"/>
  <c r="V10" i="8"/>
  <c r="V13" i="8"/>
  <c r="V7" i="8"/>
  <c r="V5" i="8"/>
  <c r="Z4" i="8"/>
  <c r="AC4" i="8" s="1"/>
  <c r="AA4" i="8"/>
  <c r="J13" i="8"/>
  <c r="E2" i="7"/>
  <c r="E2" i="4"/>
  <c r="N3" i="4" s="1"/>
  <c r="E2" i="3"/>
  <c r="D2" i="1"/>
  <c r="D7" i="1" s="1"/>
  <c r="J10" i="8" l="1"/>
  <c r="V8" i="8" s="1"/>
  <c r="M14" i="6"/>
  <c r="V11" i="8"/>
  <c r="AD11" i="8"/>
  <c r="Y11" i="8" s="1"/>
  <c r="AD7" i="8"/>
  <c r="Y7" i="8" s="1"/>
  <c r="AD13" i="8"/>
  <c r="Y13" i="8" s="1"/>
  <c r="AC9" i="8"/>
  <c r="AB9" i="8" s="1"/>
  <c r="E7" i="6"/>
  <c r="AK19" i="6"/>
  <c r="AI27" i="6"/>
  <c r="AK27" i="6"/>
  <c r="AI22" i="6"/>
  <c r="AK22" i="6"/>
  <c r="AK26" i="6"/>
  <c r="AF26" i="6" s="1"/>
  <c r="AK23" i="6"/>
  <c r="AF23" i="6" s="1"/>
  <c r="AK21" i="6"/>
  <c r="AI21" i="6"/>
  <c r="AK29" i="6"/>
  <c r="AI29" i="6"/>
  <c r="AK25" i="6"/>
  <c r="AI25" i="6"/>
  <c r="AJ28" i="6"/>
  <c r="AK28" i="6" s="1"/>
  <c r="AJ24" i="6"/>
  <c r="AK24" i="6" s="1"/>
  <c r="AJ20" i="6"/>
  <c r="AK20" i="6" s="1"/>
  <c r="AI19" i="6"/>
  <c r="AC12" i="8"/>
  <c r="AD12" i="8" s="1"/>
  <c r="AC8" i="8"/>
  <c r="AD8" i="8" s="1"/>
  <c r="AC14" i="8"/>
  <c r="AB14" i="8" s="1"/>
  <c r="AC10" i="8"/>
  <c r="AD10" i="8" s="1"/>
  <c r="AC6" i="8"/>
  <c r="AB6" i="8" s="1"/>
  <c r="AC5" i="8"/>
  <c r="AB5" i="8" s="1"/>
  <c r="W11" i="6"/>
  <c r="S5" i="4"/>
  <c r="V9" i="8"/>
  <c r="AD4" i="8"/>
  <c r="AB4" i="8"/>
  <c r="E2" i="8"/>
  <c r="V4" i="8" s="1"/>
  <c r="J9" i="7"/>
  <c r="L14" i="7" s="1"/>
  <c r="E7" i="4"/>
  <c r="E7" i="3"/>
  <c r="K15" i="3" s="1"/>
  <c r="I15" i="1"/>
  <c r="V12" i="8" l="1"/>
  <c r="Y4" i="8"/>
  <c r="AD6" i="8"/>
  <c r="Y6" i="8" s="1"/>
  <c r="AD14" i="8"/>
  <c r="Y14" i="8" s="1"/>
  <c r="AD9" i="8"/>
  <c r="Y9" i="8" s="1"/>
  <c r="AF19" i="6"/>
  <c r="AF27" i="6"/>
  <c r="AF25" i="6"/>
  <c r="AF29" i="6"/>
  <c r="AF22" i="6"/>
  <c r="AI28" i="6"/>
  <c r="AF28" i="6" s="1"/>
  <c r="AF21" i="6"/>
  <c r="AI24" i="6"/>
  <c r="AF24" i="6" s="1"/>
  <c r="AI20" i="6"/>
  <c r="AF20" i="6" s="1"/>
  <c r="AB10" i="8"/>
  <c r="Y10" i="8" s="1"/>
  <c r="AB8" i="8"/>
  <c r="Y8" i="8" s="1"/>
  <c r="AB12" i="8"/>
  <c r="Y12" i="8" s="1"/>
  <c r="AD5" i="8"/>
  <c r="Y5" i="8" s="1"/>
  <c r="K15" i="4"/>
  <c r="R5" i="4" s="1"/>
  <c r="N5" i="4"/>
  <c r="AF30" i="6"/>
  <c r="W5" i="6"/>
  <c r="L14" i="8"/>
  <c r="V14" i="8" s="1"/>
  <c r="W6" i="6" l="1"/>
  <c r="N6" i="4"/>
  <c r="V6" i="8"/>
</calcChain>
</file>

<file path=xl/sharedStrings.xml><?xml version="1.0" encoding="utf-8"?>
<sst xmlns="http://schemas.openxmlformats.org/spreadsheetml/2006/main" count="18" uniqueCount="9">
  <si>
    <t>Legende</t>
  </si>
  <si>
    <t>n</t>
  </si>
  <si>
    <t>Ua/Ue</t>
  </si>
  <si>
    <t>R</t>
  </si>
  <si>
    <t>RL</t>
  </si>
  <si>
    <t>R1</t>
  </si>
  <si>
    <t>R2</t>
  </si>
  <si>
    <t>Rp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</si>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</sst>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164" formatCode="General\Ω"/>
    <numFmt numFmtId="165" formatCode="\U\a\ \=\ General\V"/>
    <numFmt numFmtId="166" formatCode="\Ue\ \=\ General\V"/>
    <numFmt numFmtId="167" formatCode="\I\ \=\ General\A"/>
    <numFmt numFmtId="168" formatCode="\U&quot;e&quot;\ \=\ General\V"/>
    <numFmt numFmtId="169" formatCode="\U\R&quot;1&quot;\ \=\ General\V"/>
    <numFmt numFmtId="170" formatCode="\R\ \=\ General\Ω"/>
    <numFmt numFmtId="171" formatCode="\R\L\ \=\ General\Ω"/>
    <numFmt numFmtId="172" formatCode="\R&quot;1&quot;\ \=\ General\Ω"/>
    <numFmt numFmtId="173" formatCode="\R&quot;2&quot;\ \=\ General\Ω"/>
    <numFmt numFmtId="174" formatCode="\n\ \=\ General\%"/>
    <numFmt numFmtId="175" formatCode="\R\p\ \=\ General\Ω"/>
    <numFmt numFmtId="176" formatCode="General\%"/>
    <numFmt numFmtId="177" formatCode="0.00\Ω"/>
    <numFmt numFmtId="178" formatCode="\R\e\ \=\ 0.00\Ω"/>
    <numFmt numFmtId="179" formatCode="\R\p\ \=\ 0.00\Ω"/>
    <numFmt numFmtId="180" formatCode="\U&quot;a&quot;&quot;/&quot;\U&quot;e&quot;\ \=\ 0.00"/>
    <numFmt numFmtId="181" formatCode="\I\ \=\ 0.00\A"/>
    <numFmt numFmtId="182" formatCode="\R&quot;e&quot;\ \=\ General\Ω"/>
    <numFmt numFmtId="183" formatCode="\U\a\ \=\ 0\V"/>
    <numFmt numFmtId="184" formatCode="\U\R&quot;1&quot;\ \=\ 0\V"/>
    <numFmt numFmtId="185" formatCode="\R\p\ \=\ 0\Ω"/>
    <numFmt numFmtId="186" formatCode="\R&quot;e&quot;\ \=\ 0\Ω"/>
    <numFmt numFmtId="187" formatCode="0\Ω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/>
      <bottom style="thick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ck">
        <color rgb="FF00B0F0"/>
      </right>
      <top/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B0F0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5">
    <xf numFmtId="0" fontId="0" fillId="0" borderId="0" xfId="0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0" borderId="0" xfId="0" applyFont="1"/>
    <xf numFmtId="0" fontId="0" fillId="0" borderId="11" xfId="0" applyBorder="1"/>
    <xf numFmtId="0" fontId="3" fillId="0" borderId="0" xfId="0" applyFont="1"/>
    <xf numFmtId="164" fontId="0" fillId="2" borderId="0" xfId="0" applyNumberFormat="1" applyFill="1"/>
    <xf numFmtId="0" fontId="4" fillId="0" borderId="0" xfId="0" applyFont="1"/>
    <xf numFmtId="166" fontId="0" fillId="0" borderId="11" xfId="0" applyNumberFormat="1" applyBorder="1"/>
    <xf numFmtId="167" fontId="0" fillId="4" borderId="0" xfId="0" applyNumberFormat="1" applyFill="1" applyAlignment="1">
      <alignment horizontal="left"/>
    </xf>
    <xf numFmtId="165" fontId="0" fillId="3" borderId="11" xfId="0" applyNumberFormat="1" applyFill="1" applyBorder="1"/>
    <xf numFmtId="164" fontId="0" fillId="0" borderId="0" xfId="0" applyNumberFormat="1"/>
    <xf numFmtId="0" fontId="0" fillId="0" borderId="12" xfId="0" applyBorder="1"/>
    <xf numFmtId="0" fontId="0" fillId="0" borderId="13" xfId="0" applyBorder="1"/>
    <xf numFmtId="168" fontId="0" fillId="3" borderId="11" xfId="0" applyNumberFormat="1" applyFill="1" applyBorder="1"/>
    <xf numFmtId="9" fontId="0" fillId="0" borderId="0" xfId="1" applyFont="1"/>
    <xf numFmtId="0" fontId="0" fillId="0" borderId="0" xfId="1" applyNumberFormat="1" applyFont="1"/>
    <xf numFmtId="169" fontId="0" fillId="3" borderId="11" xfId="0" applyNumberFormat="1" applyFill="1" applyBorder="1"/>
    <xf numFmtId="168" fontId="0" fillId="3" borderId="0" xfId="0" applyNumberFormat="1" applyFill="1"/>
    <xf numFmtId="0" fontId="0" fillId="0" borderId="14" xfId="0" applyBorder="1"/>
    <xf numFmtId="0" fontId="0" fillId="0" borderId="15" xfId="0" applyBorder="1"/>
    <xf numFmtId="0" fontId="0" fillId="0" borderId="16" xfId="0" applyBorder="1"/>
    <xf numFmtId="165" fontId="0" fillId="0" borderId="0" xfId="0" applyNumberFormat="1"/>
    <xf numFmtId="169" fontId="0" fillId="0" borderId="0" xfId="0" applyNumberFormat="1"/>
    <xf numFmtId="172" fontId="0" fillId="5" borderId="0" xfId="0" applyNumberFormat="1" applyFill="1"/>
    <xf numFmtId="173" fontId="0" fillId="5" borderId="0" xfId="0" applyNumberFormat="1" applyFill="1"/>
    <xf numFmtId="165" fontId="0" fillId="0" borderId="11" xfId="0" applyNumberFormat="1" applyBorder="1"/>
    <xf numFmtId="169" fontId="0" fillId="3" borderId="11" xfId="0" applyNumberFormat="1" applyFill="1" applyBorder="1" applyAlignment="1">
      <alignment horizontal="left"/>
    </xf>
    <xf numFmtId="174" fontId="0" fillId="6" borderId="0" xfId="0" applyNumberFormat="1" applyFill="1"/>
    <xf numFmtId="170" fontId="3" fillId="0" borderId="0" xfId="0" applyNumberFormat="1" applyFont="1"/>
    <xf numFmtId="176" fontId="0" fillId="0" borderId="18" xfId="0" applyNumberFormat="1" applyBorder="1"/>
    <xf numFmtId="2" fontId="0" fillId="0" borderId="18" xfId="0" applyNumberFormat="1" applyBorder="1"/>
    <xf numFmtId="164" fontId="0" fillId="0" borderId="18" xfId="0" applyNumberFormat="1" applyBorder="1"/>
    <xf numFmtId="0" fontId="0" fillId="7" borderId="17" xfId="0" applyFill="1" applyBorder="1" applyAlignment="1">
      <alignment horizontal="center"/>
    </xf>
    <xf numFmtId="170" fontId="0" fillId="5" borderId="0" xfId="0" applyNumberFormat="1" applyFill="1" applyAlignment="1">
      <alignment horizontal="right"/>
    </xf>
    <xf numFmtId="171" fontId="0" fillId="5" borderId="0" xfId="0" applyNumberFormat="1" applyFill="1" applyAlignment="1">
      <alignment horizontal="right"/>
    </xf>
    <xf numFmtId="175" fontId="0" fillId="0" borderId="0" xfId="0" applyNumberFormat="1"/>
    <xf numFmtId="172" fontId="0" fillId="5" borderId="19" xfId="0" applyNumberFormat="1" applyFill="1" applyBorder="1"/>
    <xf numFmtId="173" fontId="0" fillId="5" borderId="19" xfId="0" applyNumberFormat="1" applyFill="1" applyBorder="1"/>
    <xf numFmtId="0" fontId="0" fillId="8" borderId="20" xfId="0" applyFill="1" applyBorder="1"/>
    <xf numFmtId="168" fontId="0" fillId="3" borderId="19" xfId="0" applyNumberFormat="1" applyFill="1" applyBorder="1" applyAlignment="1">
      <alignment horizontal="left"/>
    </xf>
    <xf numFmtId="165" fontId="0" fillId="3" borderId="19" xfId="0" applyNumberFormat="1" applyFill="1" applyBorder="1" applyAlignment="1">
      <alignment horizontal="left"/>
    </xf>
    <xf numFmtId="172" fontId="0" fillId="5" borderId="19" xfId="0" applyNumberFormat="1" applyFill="1" applyBorder="1" applyAlignment="1">
      <alignment horizontal="left"/>
    </xf>
    <xf numFmtId="173" fontId="0" fillId="5" borderId="19" xfId="0" applyNumberFormat="1" applyFill="1" applyBorder="1" applyAlignment="1">
      <alignment horizontal="left"/>
    </xf>
    <xf numFmtId="171" fontId="0" fillId="5" borderId="19" xfId="0" applyNumberFormat="1" applyFill="1" applyBorder="1" applyAlignment="1">
      <alignment horizontal="left"/>
    </xf>
    <xf numFmtId="0" fontId="0" fillId="7" borderId="19" xfId="0" applyFill="1" applyBorder="1"/>
    <xf numFmtId="181" fontId="0" fillId="4" borderId="19" xfId="0" applyNumberFormat="1" applyFill="1" applyBorder="1" applyAlignment="1">
      <alignment horizontal="left"/>
    </xf>
    <xf numFmtId="168" fontId="5" fillId="3" borderId="19" xfId="0" applyNumberFormat="1" applyFont="1" applyFill="1" applyBorder="1"/>
    <xf numFmtId="169" fontId="5" fillId="3" borderId="19" xfId="0" applyNumberFormat="1" applyFont="1" applyFill="1" applyBorder="1"/>
    <xf numFmtId="165" fontId="5" fillId="3" borderId="19" xfId="0" applyNumberFormat="1" applyFont="1" applyFill="1" applyBorder="1"/>
    <xf numFmtId="182" fontId="0" fillId="5" borderId="19" xfId="0" applyNumberFormat="1" applyFill="1" applyBorder="1"/>
    <xf numFmtId="181" fontId="0" fillId="4" borderId="18" xfId="0" applyNumberFormat="1" applyFill="1" applyBorder="1"/>
    <xf numFmtId="0" fontId="0" fillId="7" borderId="20" xfId="0" applyFill="1" applyBorder="1"/>
    <xf numFmtId="181" fontId="0" fillId="4" borderId="18" xfId="0" applyNumberFormat="1" applyFill="1" applyBorder="1" applyAlignment="1">
      <alignment horizontal="left"/>
    </xf>
    <xf numFmtId="170" fontId="0" fillId="5" borderId="19" xfId="0" applyNumberFormat="1" applyFill="1" applyBorder="1" applyAlignment="1">
      <alignment horizontal="left"/>
    </xf>
    <xf numFmtId="174" fontId="0" fillId="6" borderId="19" xfId="0" applyNumberFormat="1" applyFill="1" applyBorder="1" applyAlignment="1">
      <alignment horizontal="left"/>
    </xf>
    <xf numFmtId="180" fontId="0" fillId="6" borderId="19" xfId="0" applyNumberFormat="1" applyFill="1" applyBorder="1" applyAlignment="1">
      <alignment horizontal="left"/>
    </xf>
    <xf numFmtId="165" fontId="6" fillId="0" borderId="0" xfId="0" applyNumberFormat="1" applyFont="1"/>
    <xf numFmtId="173" fontId="6" fillId="0" borderId="0" xfId="0" applyNumberFormat="1" applyFont="1"/>
    <xf numFmtId="0" fontId="6" fillId="0" borderId="0" xfId="0" applyFont="1"/>
    <xf numFmtId="168" fontId="0" fillId="3" borderId="19" xfId="0" applyNumberFormat="1" applyFill="1" applyBorder="1"/>
    <xf numFmtId="169" fontId="0" fillId="3" borderId="19" xfId="0" applyNumberFormat="1" applyFill="1" applyBorder="1"/>
    <xf numFmtId="175" fontId="0" fillId="5" borderId="19" xfId="0" applyNumberFormat="1" applyFill="1" applyBorder="1" applyAlignment="1">
      <alignment horizontal="left"/>
    </xf>
    <xf numFmtId="172" fontId="0" fillId="5" borderId="19" xfId="0" applyNumberFormat="1" applyFill="1" applyBorder="1" applyAlignment="1">
      <alignment horizontal="right"/>
    </xf>
    <xf numFmtId="173" fontId="0" fillId="5" borderId="19" xfId="0" applyNumberFormat="1" applyFill="1" applyBorder="1" applyAlignment="1">
      <alignment horizontal="right"/>
    </xf>
    <xf numFmtId="171" fontId="0" fillId="5" borderId="19" xfId="0" applyNumberFormat="1" applyFill="1" applyBorder="1"/>
    <xf numFmtId="168" fontId="0" fillId="3" borderId="19" xfId="0" applyNumberFormat="1" applyFill="1" applyBorder="1" applyAlignment="1">
      <alignment horizontal="right"/>
    </xf>
    <xf numFmtId="165" fontId="0" fillId="3" borderId="22" xfId="0" applyNumberFormat="1" applyFill="1" applyBorder="1"/>
    <xf numFmtId="0" fontId="0" fillId="0" borderId="21" xfId="0" applyBorder="1"/>
    <xf numFmtId="182" fontId="0" fillId="5" borderId="19" xfId="0" applyNumberFormat="1" applyFill="1" applyBorder="1" applyAlignment="1">
      <alignment horizontal="left"/>
    </xf>
    <xf numFmtId="183" fontId="0" fillId="3" borderId="19" xfId="0" applyNumberFormat="1" applyFill="1" applyBorder="1" applyAlignment="1">
      <alignment horizontal="left"/>
    </xf>
    <xf numFmtId="184" fontId="0" fillId="3" borderId="19" xfId="0" applyNumberFormat="1" applyFill="1" applyBorder="1" applyAlignment="1">
      <alignment horizontal="left"/>
    </xf>
    <xf numFmtId="170" fontId="0" fillId="5" borderId="19" xfId="0" applyNumberFormat="1" applyFill="1" applyBorder="1" applyAlignment="1">
      <alignment horizontal="right"/>
    </xf>
    <xf numFmtId="174" fontId="0" fillId="6" borderId="19" xfId="0" applyNumberFormat="1" applyFill="1" applyBorder="1"/>
    <xf numFmtId="171" fontId="0" fillId="5" borderId="19" xfId="0" applyNumberFormat="1" applyFill="1" applyBorder="1" applyAlignment="1">
      <alignment horizontal="right"/>
    </xf>
    <xf numFmtId="0" fontId="6" fillId="9" borderId="0" xfId="0" applyFont="1" applyFill="1" applyAlignment="1">
      <alignment horizontal="center"/>
    </xf>
    <xf numFmtId="176" fontId="6" fillId="9" borderId="0" xfId="0" applyNumberFormat="1" applyFont="1" applyFill="1"/>
    <xf numFmtId="2" fontId="6" fillId="9" borderId="0" xfId="0" applyNumberFormat="1" applyFont="1" applyFill="1"/>
    <xf numFmtId="164" fontId="6" fillId="9" borderId="0" xfId="0" applyNumberFormat="1" applyFont="1" applyFill="1"/>
    <xf numFmtId="177" fontId="6" fillId="9" borderId="0" xfId="0" applyNumberFormat="1" applyFont="1" applyFill="1"/>
    <xf numFmtId="172" fontId="6" fillId="9" borderId="0" xfId="0" applyNumberFormat="1" applyFont="1" applyFill="1"/>
    <xf numFmtId="165" fontId="6" fillId="9" borderId="0" xfId="0" applyNumberFormat="1" applyFont="1" applyFill="1"/>
    <xf numFmtId="0" fontId="6" fillId="9" borderId="0" xfId="0" applyFont="1" applyFill="1"/>
    <xf numFmtId="185" fontId="0" fillId="5" borderId="19" xfId="0" applyNumberFormat="1" applyFill="1" applyBorder="1" applyAlignment="1">
      <alignment horizontal="left"/>
    </xf>
    <xf numFmtId="186" fontId="0" fillId="5" borderId="19" xfId="0" applyNumberFormat="1" applyFill="1" applyBorder="1" applyAlignment="1">
      <alignment horizontal="left"/>
    </xf>
    <xf numFmtId="187" fontId="0" fillId="0" borderId="18" xfId="0" applyNumberFormat="1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83" fontId="0" fillId="3" borderId="19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" xfId="0" applyBorder="1" applyAlignment="1">
      <alignment horizontal="center"/>
    </xf>
    <xf numFmtId="165" fontId="0" fillId="3" borderId="0" xfId="0" applyNumberFormat="1" applyFill="1" applyAlignment="1">
      <alignment horizontal="left"/>
    </xf>
    <xf numFmtId="165" fontId="0" fillId="3" borderId="22" xfId="0" applyNumberFormat="1" applyFill="1" applyBorder="1" applyAlignment="1">
      <alignment horizontal="left"/>
    </xf>
    <xf numFmtId="165" fontId="0" fillId="3" borderId="23" xfId="0" applyNumberFormat="1" applyFill="1" applyBorder="1" applyAlignment="1">
      <alignment horizontal="left"/>
    </xf>
    <xf numFmtId="165" fontId="0" fillId="3" borderId="24" xfId="0" applyNumberFormat="1" applyFill="1" applyBorder="1" applyAlignment="1">
      <alignment horizontal="left"/>
    </xf>
    <xf numFmtId="178" fontId="0" fillId="0" borderId="0" xfId="0" applyNumberFormat="1" applyAlignment="1">
      <alignment horizontal="right"/>
    </xf>
    <xf numFmtId="179" fontId="0" fillId="0" borderId="0" xfId="0" applyNumberFormat="1" applyAlignment="1">
      <alignment horizontal="right"/>
    </xf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colors>
    <mruColors>
      <color rgb="FF33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Spannung Ua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'unbelasteter Spannungsteiler 3'!$K$14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'unbelasteter Spannungsteiler 3'!$K$15</c:f>
              <c:numCache>
                <c:formatCode>\U\a\ \=\ General\V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9D-4824-B87E-4DDB189D7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4502399"/>
        <c:axId val="1112877871"/>
      </c:barChart>
      <c:catAx>
        <c:axId val="1104502399"/>
        <c:scaling>
          <c:orientation val="minMax"/>
        </c:scaling>
        <c:delete val="1"/>
        <c:axPos val="b"/>
        <c:majorTickMark val="none"/>
        <c:minorTickMark val="none"/>
        <c:tickLblPos val="nextTo"/>
        <c:crossAx val="1112877871"/>
        <c:crosses val="autoZero"/>
        <c:auto val="1"/>
        <c:lblAlgn val="ctr"/>
        <c:lblOffset val="100"/>
        <c:noMultiLvlLbl val="0"/>
      </c:catAx>
      <c:valAx>
        <c:axId val="1112877871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U</a:t>
                </a:r>
                <a:r>
                  <a:rPr lang="de-CH" baseline="0"/>
                  <a:t> [V]</a:t>
                </a:r>
              </a:p>
              <a:p>
                <a:pPr>
                  <a:defRPr/>
                </a:pPr>
                <a:endParaRPr lang="de-CH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4502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Ua/Ue = f [n]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Ua/Ue zu R2/Re</c:v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'unbelasteter Spannungsteiler 3'!$R$6:$R$7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'unbelasteter Spannungsteiler 3'!$S$6:$S$7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793-4763-A19A-A3908D6230D5}"/>
            </c:ext>
          </c:extLst>
        </c:ser>
        <c:ser>
          <c:idx val="1"/>
          <c:order val="1"/>
          <c:tx>
            <c:v>Ua/Ue zu R2/Re momentan</c:v>
          </c:tx>
          <c:spPr>
            <a:ln w="22225" cap="rnd">
              <a:noFill/>
              <a:round/>
            </a:ln>
            <a:effectLst/>
          </c:spPr>
          <c:marker>
            <c:symbol val="x"/>
            <c:size val="19"/>
            <c:spPr>
              <a:noFill/>
              <a:ln w="349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'unbelasteter Spannungsteiler 3'!$R$5</c:f>
              <c:numCache>
                <c:formatCode>\U\a\ \=\ General\V</c:formatCode>
                <c:ptCount val="1"/>
                <c:pt idx="0">
                  <c:v>0</c:v>
                </c:pt>
              </c:numCache>
            </c:numRef>
          </c:xVal>
          <c:yVal>
            <c:numRef>
              <c:f>'unbelasteter Spannungsteiler 3'!$S$5</c:f>
              <c:numCache>
                <c:formatCode>\R"2"\ \=\ General\Ω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793-4763-A19A-A3908D623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2947376"/>
        <c:axId val="918001152"/>
      </c:scatterChart>
      <c:valAx>
        <c:axId val="1002947376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R2/Re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18001152"/>
        <c:crosses val="autoZero"/>
        <c:crossBetween val="midCat"/>
      </c:valAx>
      <c:valAx>
        <c:axId val="91800115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Ua/Ue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02947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Ua/Ue = R2/Re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Ua/Ue zu R2/Re momentan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'belasteter Spannungsteiler 1'!$AF$30</c:f>
              <c:numCache>
                <c:formatCode>\U\a\ \=\ General\V</c:formatCode>
                <c:ptCount val="1"/>
                <c:pt idx="0">
                  <c:v>0</c:v>
                </c:pt>
              </c:numCache>
            </c:numRef>
          </c:xVal>
          <c:yVal>
            <c:numRef>
              <c:f>'belasteter Spannungsteiler 1'!$AE$30</c:f>
              <c:numCache>
                <c:formatCode>\R"1"\ \=\ General\Ω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0-4B5E-88CF-64F74B8D413C}"/>
            </c:ext>
          </c:extLst>
        </c:ser>
        <c:ser>
          <c:idx val="1"/>
          <c:order val="1"/>
          <c:tx>
            <c:v>Ua/Ue zu R2/Re </c:v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7"/>
            <c:marker>
              <c:symbol val="x"/>
              <c:size val="20"/>
              <c:spPr>
                <a:noFill/>
                <a:ln w="44450">
                  <a:solidFill>
                    <a:srgbClr val="FF0000"/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2DA0-4B5E-88CF-64F74B8D413C}"/>
              </c:ext>
            </c:extLst>
          </c:dPt>
          <c:xVal>
            <c:numRef>
              <c:f>'belasteter Spannungsteiler 1'!$AF$19:$AF$29</c:f>
              <c:numCache>
                <c:formatCode>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'belasteter Spannungsteiler 1'!$AE$19:$AE$29</c:f>
              <c:numCache>
                <c:formatCode>General\%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DA0-4B5E-88CF-64F74B8D4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2947376"/>
        <c:axId val="918001152"/>
      </c:scatterChart>
      <c:valAx>
        <c:axId val="1002947376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R2/re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18001152"/>
        <c:crosses val="autoZero"/>
        <c:crossBetween val="midCat"/>
      </c:valAx>
      <c:valAx>
        <c:axId val="91800115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Ua/Ue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02947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Spannungen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UR1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'belasteter Spannungsteiler 1'!$E$7</c:f>
              <c:numCache>
                <c:formatCode>\U\R"1"\ \=\ General\V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BF-4F9D-B6B6-8389B66ADC74}"/>
            </c:ext>
          </c:extLst>
        </c:ser>
        <c:ser>
          <c:idx val="1"/>
          <c:order val="1"/>
          <c:tx>
            <c:v>Ua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'belasteter Spannungsteiler 1'!$M$14:$P$14</c:f>
              <c:numCache>
                <c:formatCode>\U\a\ \=\ 0\V</c:formatCode>
                <c:ptCount val="4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BF-4F9D-B6B6-8389B66ADC74}"/>
            </c:ext>
          </c:extLst>
        </c:ser>
        <c:ser>
          <c:idx val="2"/>
          <c:order val="2"/>
          <c:tx>
            <c:v>Ue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'belasteter Spannungsteiler 1'!$B$11</c:f>
              <c:numCache>
                <c:formatCode>\U"e"\ \=\ General\V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BF-4F9D-B6B6-8389B66AD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2250448"/>
        <c:axId val="1020629312"/>
      </c:barChart>
      <c:catAx>
        <c:axId val="2112250448"/>
        <c:scaling>
          <c:orientation val="minMax"/>
        </c:scaling>
        <c:delete val="1"/>
        <c:axPos val="b"/>
        <c:majorTickMark val="none"/>
        <c:minorTickMark val="none"/>
        <c:tickLblPos val="nextTo"/>
        <c:crossAx val="1020629312"/>
        <c:crosses val="autoZero"/>
        <c:auto val="1"/>
        <c:lblAlgn val="ctr"/>
        <c:lblOffset val="100"/>
        <c:noMultiLvlLbl val="0"/>
      </c:catAx>
      <c:valAx>
        <c:axId val="102062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 [V]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\U\R&quot;1&quot;\ \=\ General\V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225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Ua/Ue = f [n] (Auftrag</a:t>
            </a:r>
            <a:r>
              <a:rPr lang="de-CH" baseline="0"/>
              <a:t> S.1)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10Ω</c:v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11"/>
              <c:pt idx="0">
                <c:v>0</c:v>
              </c:pt>
              <c:pt idx="1">
                <c:v>10</c:v>
              </c:pt>
              <c:pt idx="2">
                <c:v>20</c:v>
              </c:pt>
              <c:pt idx="3">
                <c:v>30</c:v>
              </c:pt>
              <c:pt idx="4">
                <c:v>40</c:v>
              </c:pt>
              <c:pt idx="5">
                <c:v>50</c:v>
              </c:pt>
              <c:pt idx="6">
                <c:v>60</c:v>
              </c:pt>
              <c:pt idx="7">
                <c:v>70</c:v>
              </c:pt>
              <c:pt idx="8">
                <c:v>80</c:v>
              </c:pt>
              <c:pt idx="9">
                <c:v>90</c:v>
              </c:pt>
              <c:pt idx="10">
                <c:v>100</c:v>
              </c:pt>
            </c:numLit>
          </c:xVal>
          <c:yVal>
            <c:numLit>
              <c:formatCode>General</c:formatCode>
              <c:ptCount val="11"/>
              <c:pt idx="0">
                <c:v>0</c:v>
              </c:pt>
              <c:pt idx="1">
                <c:v>5.2631578947368397E-2</c:v>
              </c:pt>
              <c:pt idx="2">
                <c:v>7.69230769230769E-2</c:v>
              </c:pt>
              <c:pt idx="3">
                <c:v>9.6774193548387094E-2</c:v>
              </c:pt>
              <c:pt idx="4">
                <c:v>0.11764705882352899</c:v>
              </c:pt>
              <c:pt idx="5">
                <c:v>0.14285714285714299</c:v>
              </c:pt>
              <c:pt idx="6">
                <c:v>0.17647058823529399</c:v>
              </c:pt>
              <c:pt idx="7">
                <c:v>0.225806451612903</c:v>
              </c:pt>
              <c:pt idx="8">
                <c:v>0.30769230769230799</c:v>
              </c:pt>
              <c:pt idx="9">
                <c:v>0.47368421052631599</c:v>
              </c:pt>
              <c:pt idx="1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3D6-4B2E-8A64-0DB15976EC92}"/>
            </c:ext>
          </c:extLst>
        </c:ser>
        <c:ser>
          <c:idx val="1"/>
          <c:order val="1"/>
          <c:tx>
            <c:v>100Ω</c:v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11"/>
              <c:pt idx="0">
                <c:v>0</c:v>
              </c:pt>
              <c:pt idx="1">
                <c:v>10</c:v>
              </c:pt>
              <c:pt idx="2">
                <c:v>20</c:v>
              </c:pt>
              <c:pt idx="3">
                <c:v>30</c:v>
              </c:pt>
              <c:pt idx="4">
                <c:v>40</c:v>
              </c:pt>
              <c:pt idx="5">
                <c:v>50</c:v>
              </c:pt>
              <c:pt idx="6">
                <c:v>60</c:v>
              </c:pt>
              <c:pt idx="7">
                <c:v>70</c:v>
              </c:pt>
              <c:pt idx="8">
                <c:v>80</c:v>
              </c:pt>
              <c:pt idx="9">
                <c:v>90</c:v>
              </c:pt>
              <c:pt idx="10">
                <c:v>100</c:v>
              </c:pt>
            </c:numLit>
          </c:xVal>
          <c:yVal>
            <c:numLit>
              <c:formatCode>General</c:formatCode>
              <c:ptCount val="11"/>
              <c:pt idx="0">
                <c:v>0</c:v>
              </c:pt>
              <c:pt idx="1">
                <c:v>9.1743119266055106E-2</c:v>
              </c:pt>
              <c:pt idx="2">
                <c:v>0.17241379310344801</c:v>
              </c:pt>
              <c:pt idx="3">
                <c:v>0.247933884297521</c:v>
              </c:pt>
              <c:pt idx="4">
                <c:v>0.32258064516128998</c:v>
              </c:pt>
              <c:pt idx="5">
                <c:v>0.4</c:v>
              </c:pt>
              <c:pt idx="6">
                <c:v>0.483870967741935</c:v>
              </c:pt>
              <c:pt idx="7">
                <c:v>0.57851239669421495</c:v>
              </c:pt>
              <c:pt idx="8">
                <c:v>0.68965517241379304</c:v>
              </c:pt>
              <c:pt idx="9">
                <c:v>0.82568807339449501</c:v>
              </c:pt>
              <c:pt idx="1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53D6-4B2E-8A64-0DB15976EC92}"/>
            </c:ext>
          </c:extLst>
        </c:ser>
        <c:ser>
          <c:idx val="2"/>
          <c:order val="2"/>
          <c:tx>
            <c:v>1kΩ</c:v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11"/>
              <c:pt idx="0">
                <c:v>0</c:v>
              </c:pt>
              <c:pt idx="1">
                <c:v>10</c:v>
              </c:pt>
              <c:pt idx="2">
                <c:v>20</c:v>
              </c:pt>
              <c:pt idx="3">
                <c:v>30</c:v>
              </c:pt>
              <c:pt idx="4">
                <c:v>40</c:v>
              </c:pt>
              <c:pt idx="5">
                <c:v>50</c:v>
              </c:pt>
              <c:pt idx="6">
                <c:v>60</c:v>
              </c:pt>
              <c:pt idx="7">
                <c:v>70</c:v>
              </c:pt>
              <c:pt idx="8">
                <c:v>80</c:v>
              </c:pt>
              <c:pt idx="9">
                <c:v>90</c:v>
              </c:pt>
              <c:pt idx="10">
                <c:v>100</c:v>
              </c:pt>
            </c:numLit>
          </c:xVal>
          <c:yVal>
            <c:numLit>
              <c:formatCode>General</c:formatCode>
              <c:ptCount val="11"/>
              <c:pt idx="0">
                <c:v>0</c:v>
              </c:pt>
              <c:pt idx="1">
                <c:v>9.9108027750247796E-2</c:v>
              </c:pt>
              <c:pt idx="2">
                <c:v>0.196850393700787</c:v>
              </c:pt>
              <c:pt idx="3">
                <c:v>0.29382957884427002</c:v>
              </c:pt>
              <c:pt idx="4">
                <c:v>0.390625</c:v>
              </c:pt>
              <c:pt idx="5">
                <c:v>0.48780487804877998</c:v>
              </c:pt>
              <c:pt idx="6">
                <c:v>0.5859375</c:v>
              </c:pt>
              <c:pt idx="7">
                <c:v>0.685602350636631</c:v>
              </c:pt>
              <c:pt idx="8">
                <c:v>0.78740157480314998</c:v>
              </c:pt>
              <c:pt idx="9">
                <c:v>0.89197224975223</c:v>
              </c:pt>
              <c:pt idx="1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53D6-4B2E-8A64-0DB15976EC92}"/>
            </c:ext>
          </c:extLst>
        </c:ser>
        <c:ser>
          <c:idx val="3"/>
          <c:order val="3"/>
          <c:tx>
            <c:v>1MΩ</c:v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11"/>
              <c:pt idx="0">
                <c:v>0</c:v>
              </c:pt>
              <c:pt idx="1">
                <c:v>10</c:v>
              </c:pt>
              <c:pt idx="2">
                <c:v>20</c:v>
              </c:pt>
              <c:pt idx="3">
                <c:v>30</c:v>
              </c:pt>
              <c:pt idx="4">
                <c:v>40</c:v>
              </c:pt>
              <c:pt idx="5">
                <c:v>50</c:v>
              </c:pt>
              <c:pt idx="6">
                <c:v>60</c:v>
              </c:pt>
              <c:pt idx="7">
                <c:v>70</c:v>
              </c:pt>
              <c:pt idx="8">
                <c:v>80</c:v>
              </c:pt>
              <c:pt idx="9">
                <c:v>90</c:v>
              </c:pt>
              <c:pt idx="10">
                <c:v>100</c:v>
              </c:pt>
            </c:numLit>
          </c:xVal>
          <c:yVal>
            <c:numLit>
              <c:formatCode>General</c:formatCode>
              <c:ptCount val="11"/>
              <c:pt idx="0">
                <c:v>0</c:v>
              </c:pt>
              <c:pt idx="1">
                <c:v>9.9999100008099903E-2</c:v>
              </c:pt>
              <c:pt idx="2">
                <c:v>0.19999680005119899</c:v>
              </c:pt>
              <c:pt idx="3">
                <c:v>0.29999370013229698</c:v>
              </c:pt>
              <c:pt idx="4">
                <c:v>0.39999040023039401</c:v>
              </c:pt>
              <c:pt idx="5">
                <c:v>0.49998750031249201</c:v>
              </c:pt>
              <c:pt idx="6">
                <c:v>0.59998560034559201</c:v>
              </c:pt>
              <c:pt idx="7">
                <c:v>0.69998530030869399</c:v>
              </c:pt>
              <c:pt idx="8">
                <c:v>0.79998720020479697</c:v>
              </c:pt>
              <c:pt idx="9">
                <c:v>0.89999190007289898</c:v>
              </c:pt>
              <c:pt idx="1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53D6-4B2E-8A64-0DB15976E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2947376"/>
        <c:axId val="918001152"/>
      </c:scatterChart>
      <c:valAx>
        <c:axId val="1002947376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Faktor n [%]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18001152"/>
        <c:crosses val="autoZero"/>
        <c:crossBetween val="midCat"/>
      </c:valAx>
      <c:valAx>
        <c:axId val="91800115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Ua/Ue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02947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Ua/UE = f [n]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Ua/Ue zu n Tabelle</c:v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'belasteter Potentiometer 2'!$X$4:$X$14</c:f>
              <c:numCache>
                <c:formatCode>General\%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'belasteter Potentiometer 2'!$Y$4:$Y$14</c:f>
              <c:numCache>
                <c:formatCode>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770-4719-87BC-37F1BB3AB96E}"/>
            </c:ext>
          </c:extLst>
        </c:ser>
        <c:ser>
          <c:idx val="1"/>
          <c:order val="1"/>
          <c:tx>
            <c:v>Ua/Ue zu n momentan</c:v>
          </c:tx>
          <c:spPr>
            <a:ln w="22225" cap="rnd">
              <a:noFill/>
              <a:round/>
            </a:ln>
            <a:effectLst/>
          </c:spPr>
          <c:marker>
            <c:symbol val="square"/>
            <c:size val="23"/>
            <c:spPr>
              <a:noFill/>
              <a:ln w="31750">
                <a:solidFill>
                  <a:srgbClr val="FF0000"/>
                </a:solidFill>
                <a:round/>
              </a:ln>
              <a:effectLst/>
            </c:spPr>
          </c:marker>
          <c:dPt>
            <c:idx val="0"/>
            <c:marker>
              <c:symbol val="x"/>
              <c:size val="23"/>
              <c:spPr>
                <a:noFill/>
                <a:ln w="31750">
                  <a:solidFill>
                    <a:srgbClr val="FF0000"/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82EE-46FE-952F-6DBCB3E0DAAD}"/>
              </c:ext>
            </c:extLst>
          </c:dPt>
          <c:xVal>
            <c:numRef>
              <c:f>'belasteter Potentiometer 2'!$E$13</c:f>
              <c:numCache>
                <c:formatCode>\n\ \=\ General\%</c:formatCode>
                <c:ptCount val="1"/>
                <c:pt idx="0">
                  <c:v>0</c:v>
                </c:pt>
              </c:numCache>
            </c:numRef>
          </c:xVal>
          <c:yVal>
            <c:numRef>
              <c:f>'belasteter Potentiometer 2'!$V$14</c:f>
              <c:numCache>
                <c:formatCode>\U"a""/"\U"e"\ \=\ 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E-46FE-952F-6DBCB3E0D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2947376"/>
        <c:axId val="918001152"/>
      </c:scatterChart>
      <c:valAx>
        <c:axId val="1002947376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Faktor n [%]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\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18001152"/>
        <c:crosses val="autoZero"/>
        <c:crossBetween val="midCat"/>
      </c:valAx>
      <c:valAx>
        <c:axId val="91800115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Ua/Ue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02947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Widerstände im Überblick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'belasteter Potentiometer 2'!$J$10</c:f>
              <c:strCache>
                <c:ptCount val="1"/>
                <c:pt idx="0">
                  <c:v>R1 = 378Ω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'belasteter Potentiometer 2'!$J$10</c:f>
              <c:numCache>
                <c:formatCode>\R"1"\ \=\ General\Ω</c:formatCode>
                <c:ptCount val="1"/>
                <c:pt idx="0">
                  <c:v>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42B-4136-A69C-A444FAB59B58}"/>
            </c:ext>
          </c:extLst>
        </c:ser>
        <c:ser>
          <c:idx val="1"/>
          <c:order val="1"/>
          <c:tx>
            <c:strRef>
              <c:f>'belasteter Potentiometer 2'!$J$13</c:f>
              <c:strCache>
                <c:ptCount val="1"/>
                <c:pt idx="0">
                  <c:v>R2 = 0Ω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'belasteter Potentiometer 2'!$J$13</c:f>
              <c:numCache>
                <c:formatCode>\R"2"\ \=\ General\Ω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42B-4136-A69C-A444FAB59B58}"/>
            </c:ext>
          </c:extLst>
        </c:ser>
        <c:ser>
          <c:idx val="2"/>
          <c:order val="2"/>
          <c:tx>
            <c:strRef>
              <c:f>'belasteter Potentiometer 2'!$E$10</c:f>
              <c:strCache>
                <c:ptCount val="1"/>
                <c:pt idx="0">
                  <c:v>R = 378Ω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'belasteter Potentiometer 2'!$E$10</c:f>
              <c:numCache>
                <c:formatCode>\R\ \=\ General\Ω</c:formatCode>
                <c:ptCount val="1"/>
                <c:pt idx="0">
                  <c:v>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42B-4136-A69C-A444FAB59B58}"/>
            </c:ext>
          </c:extLst>
        </c:ser>
        <c:ser>
          <c:idx val="3"/>
          <c:order val="3"/>
          <c:tx>
            <c:strRef>
              <c:f>'belasteter Potentiometer 2'!$T$16</c:f>
              <c:strCache>
                <c:ptCount val="1"/>
                <c:pt idx="0">
                  <c:v>RL = 0Ω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'belasteter Potentiometer 2'!$T$16</c:f>
              <c:numCache>
                <c:formatCode>\R\L\ \=\ General\Ω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42B-4136-A69C-A444FAB59B5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08127232"/>
        <c:axId val="1543671904"/>
      </c:barChart>
      <c:catAx>
        <c:axId val="13081272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43671904"/>
        <c:crosses val="autoZero"/>
        <c:auto val="1"/>
        <c:lblAlgn val="ctr"/>
        <c:lblOffset val="100"/>
        <c:noMultiLvlLbl val="0"/>
      </c:catAx>
      <c:valAx>
        <c:axId val="15436719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Widerstand [</a:t>
                </a:r>
                <a:r>
                  <a:rPr lang="el-GR"/>
                  <a:t>Ω</a:t>
                </a:r>
                <a:r>
                  <a:rPr lang="de-CH"/>
                  <a:t>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0812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6" fmlaLink="$B$11" inc="10" max="1000" page="10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26" fmlaLink="$B$11" inc="10" max="1000" page="10" val="0"/>
</file>

<file path=xl/ctrlProps/ctrlProp5.xml><?xml version="1.0" encoding="utf-8"?>
<formControlPr xmlns="http://schemas.microsoft.com/office/spreadsheetml/2009/9/main" objectType="Spin" dx="26" fmlaLink="$B$11" inc="10" max="1000" page="10" val="0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pin" dx="26" fmlaLink="$B$11" inc="10" max="1000" page="10" val="100"/>
</file>

<file path=xl/ctrlProps/ctrlProp8.xml><?xml version="1.0" encoding="utf-8"?>
<formControlPr xmlns="http://schemas.microsoft.com/office/spreadsheetml/2009/9/main" objectType="Spin" dx="26" fmlaLink="$B$11" inc="10" max="1000" page="10" val="0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687613</xdr:colOff>
      <xdr:row>17</xdr:row>
      <xdr:rowOff>141672</xdr:rowOff>
    </xdr:from>
    <xdr:to>
      <xdr:col>2</xdr:col>
      <xdr:colOff>73268</xdr:colOff>
      <xdr:row>18</xdr:row>
      <xdr:rowOff>89550</xdr:rowOff>
    </xdr:to>
    <xdr:sp macro="" textlink="">
      <xdr:nvSpPr>
        <xdr:cNvPr id="4" name="Gleichschenkliges Dreiec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rot="10800000">
          <a:off x="1477292" y="3300390"/>
          <a:ext cx="110207" cy="126981"/>
        </a:xfrm>
        <a:prstGeom prst="triangl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3</xdr:col>
      <xdr:colOff>320300</xdr:colOff>
      <xdr:row>2</xdr:row>
      <xdr:rowOff>135541</xdr:rowOff>
    </xdr:from>
    <xdr:to>
      <xdr:col>3</xdr:col>
      <xdr:colOff>413509</xdr:colOff>
      <xdr:row>3</xdr:row>
      <xdr:rowOff>55152</xdr:rowOff>
    </xdr:to>
    <xdr:sp macro="" textlink="">
      <xdr:nvSpPr>
        <xdr:cNvPr id="7" name="Gleichschenkliges Dreieck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2589345" y="683175"/>
          <a:ext cx="106709" cy="93209"/>
        </a:xfrm>
        <a:prstGeom prst="triangl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8</xdr:col>
      <xdr:colOff>707570</xdr:colOff>
      <xdr:row>17</xdr:row>
      <xdr:rowOff>174578</xdr:rowOff>
    </xdr:from>
    <xdr:to>
      <xdr:col>9</xdr:col>
      <xdr:colOff>81642</xdr:colOff>
      <xdr:row>18</xdr:row>
      <xdr:rowOff>163284</xdr:rowOff>
    </xdr:to>
    <xdr:sp macro="" textlink="">
      <xdr:nvSpPr>
        <xdr:cNvPr id="8" name="Gleichschenkliges Dreieck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10800000">
          <a:off x="4871356" y="3391307"/>
          <a:ext cx="168729" cy="173763"/>
        </a:xfrm>
        <a:prstGeom prst="triangl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3</xdr:col>
      <xdr:colOff>784170</xdr:colOff>
      <xdr:row>8</xdr:row>
      <xdr:rowOff>152283</xdr:rowOff>
    </xdr:from>
    <xdr:to>
      <xdr:col>4</xdr:col>
      <xdr:colOff>67033</xdr:colOff>
      <xdr:row>9</xdr:row>
      <xdr:rowOff>60797</xdr:rowOff>
    </xdr:to>
    <xdr:sp macro="" textlink="">
      <xdr:nvSpPr>
        <xdr:cNvPr id="10" name="Gleichschenkliges Dreieck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10800000">
          <a:off x="2876414" y="1609527"/>
          <a:ext cx="121388" cy="120180"/>
        </a:xfrm>
        <a:prstGeom prst="triangl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4</xdr:col>
      <xdr:colOff>150018</xdr:colOff>
      <xdr:row>5</xdr:row>
      <xdr:rowOff>172538</xdr:rowOff>
    </xdr:from>
    <xdr:to>
      <xdr:col>7</xdr:col>
      <xdr:colOff>122464</xdr:colOff>
      <xdr:row>7</xdr:row>
      <xdr:rowOff>40822</xdr:rowOff>
    </xdr:to>
    <xdr:sp macro="" textlink="">
      <xdr:nvSpPr>
        <xdr:cNvPr id="11" name="Textfeld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075554" y="1111431"/>
          <a:ext cx="414678" cy="235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CH" sz="1100"/>
            <a:t>R1</a:t>
          </a:r>
        </a:p>
      </xdr:txBody>
    </xdr:sp>
    <xdr:clientData/>
  </xdr:twoCellAnchor>
  <xdr:twoCellAnchor>
    <xdr:from>
      <xdr:col>4</xdr:col>
      <xdr:colOff>149337</xdr:colOff>
      <xdr:row>13</xdr:row>
      <xdr:rowOff>154440</xdr:rowOff>
    </xdr:from>
    <xdr:to>
      <xdr:col>7</xdr:col>
      <xdr:colOff>142875</xdr:colOff>
      <xdr:row>15</xdr:row>
      <xdr:rowOff>22724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3074873" y="2624136"/>
          <a:ext cx="435770" cy="235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CH" sz="1100"/>
            <a:t>R2</a:t>
          </a:r>
        </a:p>
      </xdr:txBody>
    </xdr:sp>
    <xdr:clientData/>
  </xdr:twoCellAnchor>
  <xdr:twoCellAnchor>
    <xdr:from>
      <xdr:col>5</xdr:col>
      <xdr:colOff>108857</xdr:colOff>
      <xdr:row>10</xdr:row>
      <xdr:rowOff>149678</xdr:rowOff>
    </xdr:from>
    <xdr:to>
      <xdr:col>6</xdr:col>
      <xdr:colOff>44222</xdr:colOff>
      <xdr:row>11</xdr:row>
      <xdr:rowOff>37419</xdr:rowOff>
    </xdr:to>
    <xdr:sp macro="" textlink="">
      <xdr:nvSpPr>
        <xdr:cNvPr id="13" name="Ellips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299732" y="2013857"/>
          <a:ext cx="74839" cy="74839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5</xdr:col>
      <xdr:colOff>104775</xdr:colOff>
      <xdr:row>18</xdr:row>
      <xdr:rowOff>152399</xdr:rowOff>
    </xdr:from>
    <xdr:to>
      <xdr:col>6</xdr:col>
      <xdr:colOff>40140</xdr:colOff>
      <xdr:row>19</xdr:row>
      <xdr:rowOff>40140</xdr:rowOff>
    </xdr:to>
    <xdr:sp macro="" textlink="">
      <xdr:nvSpPr>
        <xdr:cNvPr id="14" name="Ellips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295650" y="3305855"/>
          <a:ext cx="74839" cy="74839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320300</xdr:colOff>
      <xdr:row>2</xdr:row>
      <xdr:rowOff>135541</xdr:rowOff>
    </xdr:from>
    <xdr:to>
      <xdr:col>4</xdr:col>
      <xdr:colOff>413509</xdr:colOff>
      <xdr:row>3</xdr:row>
      <xdr:rowOff>55152</xdr:rowOff>
    </xdr:to>
    <xdr:sp macro="" textlink="">
      <xdr:nvSpPr>
        <xdr:cNvPr id="3" name="Gleichschenkliges Dreiec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5400000">
          <a:off x="2585943" y="503561"/>
          <a:ext cx="105349" cy="93209"/>
        </a:xfrm>
        <a:prstGeom prst="triangl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5</xdr:col>
      <xdr:colOff>150018</xdr:colOff>
      <xdr:row>5</xdr:row>
      <xdr:rowOff>172538</xdr:rowOff>
    </xdr:from>
    <xdr:to>
      <xdr:col>9</xdr:col>
      <xdr:colOff>12700</xdr:colOff>
      <xdr:row>7</xdr:row>
      <xdr:rowOff>40822</xdr:rowOff>
    </xdr:to>
    <xdr:sp macro="" textlink="">
      <xdr:nvSpPr>
        <xdr:cNvPr id="6" name="Textfeld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096418" y="1112338"/>
          <a:ext cx="338932" cy="236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CH" sz="1100"/>
            <a:t>R1</a:t>
          </a:r>
        </a:p>
      </xdr:txBody>
    </xdr:sp>
    <xdr:clientData/>
  </xdr:twoCellAnchor>
  <xdr:twoCellAnchor>
    <xdr:from>
      <xdr:col>5</xdr:col>
      <xdr:colOff>149336</xdr:colOff>
      <xdr:row>13</xdr:row>
      <xdr:rowOff>154440</xdr:rowOff>
    </xdr:from>
    <xdr:to>
      <xdr:col>9</xdr:col>
      <xdr:colOff>44449</xdr:colOff>
      <xdr:row>15</xdr:row>
      <xdr:rowOff>22724</xdr:rowOff>
    </xdr:to>
    <xdr:sp macro="" textlink="">
      <xdr:nvSpPr>
        <xdr:cNvPr id="7" name="Textfeld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3095736" y="2630940"/>
          <a:ext cx="371363" cy="236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CH" sz="1100"/>
            <a:t>R2</a:t>
          </a:r>
        </a:p>
      </xdr:txBody>
    </xdr:sp>
    <xdr:clientData/>
  </xdr:twoCellAnchor>
  <xdr:twoCellAnchor>
    <xdr:from>
      <xdr:col>6</xdr:col>
      <xdr:colOff>108857</xdr:colOff>
      <xdr:row>10</xdr:row>
      <xdr:rowOff>149678</xdr:rowOff>
    </xdr:from>
    <xdr:to>
      <xdr:col>7</xdr:col>
      <xdr:colOff>44222</xdr:colOff>
      <xdr:row>11</xdr:row>
      <xdr:rowOff>37419</xdr:rowOff>
    </xdr:to>
    <xdr:sp macro="" textlink="">
      <xdr:nvSpPr>
        <xdr:cNvPr id="8" name="Ellips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299732" y="2016578"/>
          <a:ext cx="73478" cy="73479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6</xdr:col>
      <xdr:colOff>104775</xdr:colOff>
      <xdr:row>18</xdr:row>
      <xdr:rowOff>152399</xdr:rowOff>
    </xdr:from>
    <xdr:to>
      <xdr:col>7</xdr:col>
      <xdr:colOff>40140</xdr:colOff>
      <xdr:row>19</xdr:row>
      <xdr:rowOff>40140</xdr:rowOff>
    </xdr:to>
    <xdr:sp macro="" textlink="">
      <xdr:nvSpPr>
        <xdr:cNvPr id="9" name="Ellips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3295650" y="3486149"/>
          <a:ext cx="73478" cy="73479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4</xdr:col>
      <xdr:colOff>678114</xdr:colOff>
      <xdr:row>8</xdr:row>
      <xdr:rowOff>119014</xdr:rowOff>
    </xdr:from>
    <xdr:to>
      <xdr:col>5</xdr:col>
      <xdr:colOff>63312</xdr:colOff>
      <xdr:row>9</xdr:row>
      <xdr:rowOff>26681</xdr:rowOff>
    </xdr:to>
    <xdr:sp macro="" textlink="">
      <xdr:nvSpPr>
        <xdr:cNvPr id="12" name="Gleichschenkliges Dreieck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 rot="10800000">
          <a:off x="3276270" y="1566626"/>
          <a:ext cx="125507" cy="100996"/>
        </a:xfrm>
        <a:prstGeom prst="triangl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733425</xdr:colOff>
          <xdr:row>2</xdr:row>
          <xdr:rowOff>0</xdr:rowOff>
        </xdr:from>
        <xdr:to>
          <xdr:col>12</xdr:col>
          <xdr:colOff>104775</xdr:colOff>
          <xdr:row>4</xdr:row>
          <xdr:rowOff>104775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Alles zurücksetzen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9525</xdr:colOff>
          <xdr:row>13</xdr:row>
          <xdr:rowOff>28575</xdr:rowOff>
        </xdr:to>
        <xdr:sp macro="" textlink="">
          <xdr:nvSpPr>
            <xdr:cNvPr id="2057" name="Spinner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113170</xdr:colOff>
      <xdr:row>17</xdr:row>
      <xdr:rowOff>155605</xdr:rowOff>
    </xdr:from>
    <xdr:to>
      <xdr:col>3</xdr:col>
      <xdr:colOff>73639</xdr:colOff>
      <xdr:row>18</xdr:row>
      <xdr:rowOff>77418</xdr:rowOff>
    </xdr:to>
    <xdr:sp macro="" textlink="">
      <xdr:nvSpPr>
        <xdr:cNvPr id="4" name="Gleichschenkliges Dreieck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10800000">
          <a:off x="1791833" y="3267734"/>
          <a:ext cx="125507" cy="100996"/>
        </a:xfrm>
        <a:prstGeom prst="triangl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10</xdr:col>
      <xdr:colOff>722230</xdr:colOff>
      <xdr:row>17</xdr:row>
      <xdr:rowOff>138441</xdr:rowOff>
    </xdr:from>
    <xdr:to>
      <xdr:col>11</xdr:col>
      <xdr:colOff>83851</xdr:colOff>
      <xdr:row>18</xdr:row>
      <xdr:rowOff>60254</xdr:rowOff>
    </xdr:to>
    <xdr:sp macro="" textlink="">
      <xdr:nvSpPr>
        <xdr:cNvPr id="5" name="Gleichschenkliges Dreiec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rot="10800000">
          <a:off x="5241418" y="3299609"/>
          <a:ext cx="153799" cy="102883"/>
        </a:xfrm>
        <a:prstGeom prst="triangl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2065" name="ScrollBar1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10</xdr:col>
          <xdr:colOff>0</xdr:colOff>
          <xdr:row>9</xdr:row>
          <xdr:rowOff>9525</xdr:rowOff>
        </xdr:to>
        <xdr:sp macro="" textlink="">
          <xdr:nvSpPr>
            <xdr:cNvPr id="2066" name="ScrollBar2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320300</xdr:colOff>
      <xdr:row>2</xdr:row>
      <xdr:rowOff>135541</xdr:rowOff>
    </xdr:from>
    <xdr:to>
      <xdr:col>4</xdr:col>
      <xdr:colOff>413509</xdr:colOff>
      <xdr:row>3</xdr:row>
      <xdr:rowOff>55152</xdr:rowOff>
    </xdr:to>
    <xdr:sp macro="" textlink="">
      <xdr:nvSpPr>
        <xdr:cNvPr id="2" name="Gleichschenkliges Dreiec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5400000">
          <a:off x="2909793" y="503561"/>
          <a:ext cx="105349" cy="93209"/>
        </a:xfrm>
        <a:prstGeom prst="triangl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5</xdr:col>
      <xdr:colOff>150018</xdr:colOff>
      <xdr:row>5</xdr:row>
      <xdr:rowOff>172538</xdr:rowOff>
    </xdr:from>
    <xdr:to>
      <xdr:col>9</xdr:col>
      <xdr:colOff>12700</xdr:colOff>
      <xdr:row>7</xdr:row>
      <xdr:rowOff>40822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3483768" y="1091701"/>
          <a:ext cx="348457" cy="2302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CH" sz="1100"/>
            <a:t>R1</a:t>
          </a:r>
        </a:p>
      </xdr:txBody>
    </xdr:sp>
    <xdr:clientData/>
  </xdr:twoCellAnchor>
  <xdr:twoCellAnchor>
    <xdr:from>
      <xdr:col>5</xdr:col>
      <xdr:colOff>149336</xdr:colOff>
      <xdr:row>13</xdr:row>
      <xdr:rowOff>154440</xdr:rowOff>
    </xdr:from>
    <xdr:to>
      <xdr:col>9</xdr:col>
      <xdr:colOff>44449</xdr:colOff>
      <xdr:row>15</xdr:row>
      <xdr:rowOff>22724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483086" y="2569028"/>
          <a:ext cx="380888" cy="2302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CH" sz="1100"/>
            <a:t>R2</a:t>
          </a:r>
        </a:p>
      </xdr:txBody>
    </xdr:sp>
    <xdr:clientData/>
  </xdr:twoCellAnchor>
  <xdr:twoCellAnchor>
    <xdr:from>
      <xdr:col>6</xdr:col>
      <xdr:colOff>104142</xdr:colOff>
      <xdr:row>10</xdr:row>
      <xdr:rowOff>149678</xdr:rowOff>
    </xdr:from>
    <xdr:to>
      <xdr:col>7</xdr:col>
      <xdr:colOff>39507</xdr:colOff>
      <xdr:row>11</xdr:row>
      <xdr:rowOff>37419</xdr:rowOff>
    </xdr:to>
    <xdr:sp macro="" textlink="">
      <xdr:nvSpPr>
        <xdr:cNvPr id="5" name="Ellips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621791" y="1988663"/>
          <a:ext cx="67394" cy="71640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6</xdr:col>
      <xdr:colOff>104775</xdr:colOff>
      <xdr:row>18</xdr:row>
      <xdr:rowOff>152399</xdr:rowOff>
    </xdr:from>
    <xdr:to>
      <xdr:col>7</xdr:col>
      <xdr:colOff>40140</xdr:colOff>
      <xdr:row>19</xdr:row>
      <xdr:rowOff>40140</xdr:rowOff>
    </xdr:to>
    <xdr:sp macro="" textlink="">
      <xdr:nvSpPr>
        <xdr:cNvPr id="6" name="Ellips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619500" y="3476624"/>
          <a:ext cx="68715" cy="73479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4</xdr:col>
      <xdr:colOff>673399</xdr:colOff>
      <xdr:row>8</xdr:row>
      <xdr:rowOff>114299</xdr:rowOff>
    </xdr:from>
    <xdr:to>
      <xdr:col>5</xdr:col>
      <xdr:colOff>58597</xdr:colOff>
      <xdr:row>9</xdr:row>
      <xdr:rowOff>21966</xdr:rowOff>
    </xdr:to>
    <xdr:sp macro="" textlink="">
      <xdr:nvSpPr>
        <xdr:cNvPr id="7" name="Gleichschenkliges Dreieck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 rot="10800000">
          <a:off x="3271555" y="1561911"/>
          <a:ext cx="125507" cy="100996"/>
        </a:xfrm>
        <a:prstGeom prst="triangl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733425</xdr:colOff>
          <xdr:row>2</xdr:row>
          <xdr:rowOff>0</xdr:rowOff>
        </xdr:from>
        <xdr:to>
          <xdr:col>12</xdr:col>
          <xdr:colOff>238125</xdr:colOff>
          <xdr:row>5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Alles zurücksetzen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9525</xdr:colOff>
          <xdr:row>13</xdr:row>
          <xdr:rowOff>28575</xdr:rowOff>
        </xdr:to>
        <xdr:sp macro="" textlink="">
          <xdr:nvSpPr>
            <xdr:cNvPr id="3074" name="Spinner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103740</xdr:colOff>
      <xdr:row>17</xdr:row>
      <xdr:rowOff>155605</xdr:rowOff>
    </xdr:from>
    <xdr:to>
      <xdr:col>3</xdr:col>
      <xdr:colOff>64209</xdr:colOff>
      <xdr:row>18</xdr:row>
      <xdr:rowOff>77418</xdr:rowOff>
    </xdr:to>
    <xdr:sp macro="" textlink="">
      <xdr:nvSpPr>
        <xdr:cNvPr id="8" name="Gleichschenkliges Dreieck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 rot="10800000">
          <a:off x="1782403" y="3267734"/>
          <a:ext cx="125507" cy="100996"/>
        </a:xfrm>
        <a:prstGeom prst="triangl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10</xdr:col>
      <xdr:colOff>724173</xdr:colOff>
      <xdr:row>17</xdr:row>
      <xdr:rowOff>164847</xdr:rowOff>
    </xdr:from>
    <xdr:to>
      <xdr:col>11</xdr:col>
      <xdr:colOff>78174</xdr:colOff>
      <xdr:row>18</xdr:row>
      <xdr:rowOff>86660</xdr:rowOff>
    </xdr:to>
    <xdr:sp macro="" textlink="">
      <xdr:nvSpPr>
        <xdr:cNvPr id="9" name="Gleichschenkliges Dreieck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 rot="10800000">
          <a:off x="5250906" y="3333560"/>
          <a:ext cx="146179" cy="100996"/>
        </a:xfrm>
        <a:prstGeom prst="triangl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3075" name="ScrollBar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10</xdr:col>
          <xdr:colOff>0</xdr:colOff>
          <xdr:row>9</xdr:row>
          <xdr:rowOff>9525</xdr:rowOff>
        </xdr:to>
        <xdr:sp macro="" textlink="">
          <xdr:nvSpPr>
            <xdr:cNvPr id="3076" name="ScrollBar2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234353</xdr:colOff>
      <xdr:row>10</xdr:row>
      <xdr:rowOff>84877</xdr:rowOff>
    </xdr:from>
    <xdr:to>
      <xdr:col>13</xdr:col>
      <xdr:colOff>467762</xdr:colOff>
      <xdr:row>19</xdr:row>
      <xdr:rowOff>127314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726164</xdr:colOff>
      <xdr:row>10</xdr:row>
      <xdr:rowOff>117883</xdr:rowOff>
    </xdr:from>
    <xdr:to>
      <xdr:col>20</xdr:col>
      <xdr:colOff>248323</xdr:colOff>
      <xdr:row>25</xdr:row>
      <xdr:rowOff>123604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320300</xdr:colOff>
      <xdr:row>2</xdr:row>
      <xdr:rowOff>135541</xdr:rowOff>
    </xdr:from>
    <xdr:to>
      <xdr:col>4</xdr:col>
      <xdr:colOff>413509</xdr:colOff>
      <xdr:row>3</xdr:row>
      <xdr:rowOff>55152</xdr:rowOff>
    </xdr:to>
    <xdr:sp macro="" textlink="">
      <xdr:nvSpPr>
        <xdr:cNvPr id="2" name="Gleichschenkliges Dreieck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 rot="5400000">
          <a:off x="2909793" y="503561"/>
          <a:ext cx="105349" cy="93209"/>
        </a:xfrm>
        <a:prstGeom prst="triangl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5</xdr:col>
      <xdr:colOff>150018</xdr:colOff>
      <xdr:row>5</xdr:row>
      <xdr:rowOff>172538</xdr:rowOff>
    </xdr:from>
    <xdr:to>
      <xdr:col>9</xdr:col>
      <xdr:colOff>12700</xdr:colOff>
      <xdr:row>7</xdr:row>
      <xdr:rowOff>40822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3483768" y="1091701"/>
          <a:ext cx="348457" cy="2302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CH" sz="1100"/>
            <a:t>R1</a:t>
          </a:r>
        </a:p>
      </xdr:txBody>
    </xdr:sp>
    <xdr:clientData/>
  </xdr:twoCellAnchor>
  <xdr:twoCellAnchor>
    <xdr:from>
      <xdr:col>5</xdr:col>
      <xdr:colOff>149336</xdr:colOff>
      <xdr:row>13</xdr:row>
      <xdr:rowOff>154440</xdr:rowOff>
    </xdr:from>
    <xdr:to>
      <xdr:col>9</xdr:col>
      <xdr:colOff>44449</xdr:colOff>
      <xdr:row>15</xdr:row>
      <xdr:rowOff>22724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3483086" y="2569028"/>
          <a:ext cx="380888" cy="2302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CH" sz="1100"/>
            <a:t>R2</a:t>
          </a:r>
        </a:p>
      </xdr:txBody>
    </xdr:sp>
    <xdr:clientData/>
  </xdr:twoCellAnchor>
  <xdr:twoCellAnchor>
    <xdr:from>
      <xdr:col>6</xdr:col>
      <xdr:colOff>104142</xdr:colOff>
      <xdr:row>10</xdr:row>
      <xdr:rowOff>149678</xdr:rowOff>
    </xdr:from>
    <xdr:to>
      <xdr:col>7</xdr:col>
      <xdr:colOff>39507</xdr:colOff>
      <xdr:row>11</xdr:row>
      <xdr:rowOff>37419</xdr:rowOff>
    </xdr:to>
    <xdr:sp macro="" textlink="">
      <xdr:nvSpPr>
        <xdr:cNvPr id="5" name="Ellips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621791" y="1988663"/>
          <a:ext cx="67394" cy="71640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6</xdr:col>
      <xdr:colOff>104775</xdr:colOff>
      <xdr:row>18</xdr:row>
      <xdr:rowOff>152399</xdr:rowOff>
    </xdr:from>
    <xdr:to>
      <xdr:col>7</xdr:col>
      <xdr:colOff>40140</xdr:colOff>
      <xdr:row>19</xdr:row>
      <xdr:rowOff>40140</xdr:rowOff>
    </xdr:to>
    <xdr:sp macro="" textlink="">
      <xdr:nvSpPr>
        <xdr:cNvPr id="6" name="Ellips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619500" y="3476624"/>
          <a:ext cx="68715" cy="73479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4</xdr:col>
      <xdr:colOff>678114</xdr:colOff>
      <xdr:row>8</xdr:row>
      <xdr:rowOff>119014</xdr:rowOff>
    </xdr:from>
    <xdr:to>
      <xdr:col>5</xdr:col>
      <xdr:colOff>63312</xdr:colOff>
      <xdr:row>9</xdr:row>
      <xdr:rowOff>26681</xdr:rowOff>
    </xdr:to>
    <xdr:sp macro="" textlink="">
      <xdr:nvSpPr>
        <xdr:cNvPr id="7" name="Gleichschenkliges Dreieck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 rot="10800000">
          <a:off x="3276270" y="1566626"/>
          <a:ext cx="125507" cy="100996"/>
        </a:xfrm>
        <a:prstGeom prst="triangl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9525</xdr:colOff>
          <xdr:row>13</xdr:row>
          <xdr:rowOff>28575</xdr:rowOff>
        </xdr:to>
        <xdr:sp macro="" textlink="">
          <xdr:nvSpPr>
            <xdr:cNvPr id="4098" name="Spinne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103740</xdr:colOff>
      <xdr:row>17</xdr:row>
      <xdr:rowOff>155605</xdr:rowOff>
    </xdr:from>
    <xdr:to>
      <xdr:col>3</xdr:col>
      <xdr:colOff>64209</xdr:colOff>
      <xdr:row>18</xdr:row>
      <xdr:rowOff>77418</xdr:rowOff>
    </xdr:to>
    <xdr:sp macro="" textlink="">
      <xdr:nvSpPr>
        <xdr:cNvPr id="8" name="Gleichschenkliges Dreieck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 rot="10800000">
          <a:off x="1782403" y="3267734"/>
          <a:ext cx="125507" cy="100996"/>
        </a:xfrm>
        <a:prstGeom prst="triangl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16</xdr:col>
      <xdr:colOff>117883</xdr:colOff>
      <xdr:row>16</xdr:row>
      <xdr:rowOff>160131</xdr:rowOff>
    </xdr:from>
    <xdr:to>
      <xdr:col>17</xdr:col>
      <xdr:colOff>51785</xdr:colOff>
      <xdr:row>17</xdr:row>
      <xdr:rowOff>66014</xdr:rowOff>
    </xdr:to>
    <xdr:sp macro="" textlink="">
      <xdr:nvSpPr>
        <xdr:cNvPr id="9" name="Gleichschenkliges Dreieck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 rot="10800000">
          <a:off x="6139381" y="3093077"/>
          <a:ext cx="113085" cy="89782"/>
        </a:xfrm>
        <a:prstGeom prst="triangl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10</xdr:col>
          <xdr:colOff>0</xdr:colOff>
          <xdr:row>16</xdr:row>
          <xdr:rowOff>171450</xdr:rowOff>
        </xdr:to>
        <xdr:sp macro="" textlink="">
          <xdr:nvSpPr>
            <xdr:cNvPr id="4099" name="ScrollBar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10</xdr:col>
          <xdr:colOff>0</xdr:colOff>
          <xdr:row>9</xdr:row>
          <xdr:rowOff>9525</xdr:rowOff>
        </xdr:to>
        <xdr:sp macro="" textlink="">
          <xdr:nvSpPr>
            <xdr:cNvPr id="4100" name="ScrollBar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16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4101" name="ScrollBar3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271935</xdr:colOff>
      <xdr:row>13</xdr:row>
      <xdr:rowOff>135909</xdr:rowOff>
    </xdr:from>
    <xdr:to>
      <xdr:col>21</xdr:col>
      <xdr:colOff>242494</xdr:colOff>
      <xdr:row>15</xdr:row>
      <xdr:rowOff>4193</xdr:rowOff>
    </xdr:to>
    <xdr:sp macro="" textlink="">
      <xdr:nvSpPr>
        <xdr:cNvPr id="11" name="Textfeld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5727591" y="2526590"/>
          <a:ext cx="630708" cy="2313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CH" sz="1100"/>
            <a:t>RL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161925</xdr:rowOff>
        </xdr:from>
        <xdr:to>
          <xdr:col>19</xdr:col>
          <xdr:colOff>123825</xdr:colOff>
          <xdr:row>4</xdr:row>
          <xdr:rowOff>161925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Alles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20</xdr:row>
      <xdr:rowOff>150891</xdr:rowOff>
    </xdr:from>
    <xdr:to>
      <xdr:col>21</xdr:col>
      <xdr:colOff>278340</xdr:colOff>
      <xdr:row>36</xdr:row>
      <xdr:rowOff>44123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373380</xdr:colOff>
      <xdr:row>11</xdr:row>
      <xdr:rowOff>140970</xdr:rowOff>
    </xdr:from>
    <xdr:to>
      <xdr:col>25</xdr:col>
      <xdr:colOff>312420</xdr:colOff>
      <xdr:row>26</xdr:row>
      <xdr:rowOff>72390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320300</xdr:colOff>
      <xdr:row>2</xdr:row>
      <xdr:rowOff>135541</xdr:rowOff>
    </xdr:from>
    <xdr:to>
      <xdr:col>4</xdr:col>
      <xdr:colOff>413509</xdr:colOff>
      <xdr:row>3</xdr:row>
      <xdr:rowOff>55152</xdr:rowOff>
    </xdr:to>
    <xdr:sp macro="" textlink="">
      <xdr:nvSpPr>
        <xdr:cNvPr id="2" name="Gleichschenkliges Dreieck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rot="5400000">
          <a:off x="2909793" y="503561"/>
          <a:ext cx="105349" cy="93209"/>
        </a:xfrm>
        <a:prstGeom prst="triangl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6</xdr:col>
      <xdr:colOff>104775</xdr:colOff>
      <xdr:row>18</xdr:row>
      <xdr:rowOff>152399</xdr:rowOff>
    </xdr:from>
    <xdr:to>
      <xdr:col>7</xdr:col>
      <xdr:colOff>40140</xdr:colOff>
      <xdr:row>19</xdr:row>
      <xdr:rowOff>40140</xdr:rowOff>
    </xdr:to>
    <xdr:sp macro="" textlink="">
      <xdr:nvSpPr>
        <xdr:cNvPr id="6" name="Ellips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3619500" y="3486149"/>
          <a:ext cx="68715" cy="73479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14</xdr:col>
      <xdr:colOff>65119</xdr:colOff>
      <xdr:row>16</xdr:row>
      <xdr:rowOff>156736</xdr:rowOff>
    </xdr:from>
    <xdr:to>
      <xdr:col>15</xdr:col>
      <xdr:colOff>68027</xdr:colOff>
      <xdr:row>17</xdr:row>
      <xdr:rowOff>73834</xdr:rowOff>
    </xdr:to>
    <xdr:sp macro="" textlink="">
      <xdr:nvSpPr>
        <xdr:cNvPr id="7" name="Gleichschenkliges Dreieck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 rot="10800000">
          <a:off x="4978510" y="3089682"/>
          <a:ext cx="125507" cy="100997"/>
        </a:xfrm>
        <a:prstGeom prst="triangl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9525</xdr:colOff>
          <xdr:row>13</xdr:row>
          <xdr:rowOff>28575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103740</xdr:colOff>
      <xdr:row>17</xdr:row>
      <xdr:rowOff>155605</xdr:rowOff>
    </xdr:from>
    <xdr:to>
      <xdr:col>3</xdr:col>
      <xdr:colOff>64209</xdr:colOff>
      <xdr:row>18</xdr:row>
      <xdr:rowOff>77418</xdr:rowOff>
    </xdr:to>
    <xdr:sp macro="" textlink="">
      <xdr:nvSpPr>
        <xdr:cNvPr id="8" name="Gleichschenkliges Dreieck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 rot="10800000">
          <a:off x="1780140" y="3303618"/>
          <a:ext cx="127157" cy="107550"/>
        </a:xfrm>
        <a:prstGeom prst="triangl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oneCellAnchor>
    <xdr:from>
      <xdr:col>5</xdr:col>
      <xdr:colOff>172521</xdr:colOff>
      <xdr:row>10</xdr:row>
      <xdr:rowOff>65515</xdr:rowOff>
    </xdr:from>
    <xdr:ext cx="261290" cy="264560"/>
    <xdr:sp macro="" textlink="">
      <xdr:nvSpPr>
        <xdr:cNvPr id="11" name="Textfeld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3421395" y="1904500"/>
          <a:ext cx="26129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CH" sz="1100"/>
            <a:t>R</a:t>
          </a:r>
        </a:p>
      </xdr:txBody>
    </xdr:sp>
    <xdr:clientData/>
  </xdr:oneCellAnchor>
  <xdr:twoCellAnchor>
    <xdr:from>
      <xdr:col>5</xdr:col>
      <xdr:colOff>51869</xdr:colOff>
      <xdr:row>9</xdr:row>
      <xdr:rowOff>141460</xdr:rowOff>
    </xdr:from>
    <xdr:to>
      <xdr:col>8</xdr:col>
      <xdr:colOff>113168</xdr:colOff>
      <xdr:row>10</xdr:row>
      <xdr:rowOff>174468</xdr:rowOff>
    </xdr:to>
    <xdr:cxnSp macro="">
      <xdr:nvCxnSpPr>
        <xdr:cNvPr id="13" name="Gerade Verbindung mit Pfeil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CxnSpPr/>
      </xdr:nvCxnSpPr>
      <xdr:spPr>
        <a:xfrm flipH="1" flipV="1">
          <a:off x="3404481" y="1777686"/>
          <a:ext cx="504541" cy="235767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0</xdr:colOff>
          <xdr:row>17</xdr:row>
          <xdr:rowOff>0</xdr:rowOff>
        </xdr:to>
        <xdr:sp macro="" textlink="">
          <xdr:nvSpPr>
            <xdr:cNvPr id="5127" name="ScrollBar1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15</xdr:col>
      <xdr:colOff>84875</xdr:colOff>
      <xdr:row>14</xdr:row>
      <xdr:rowOff>14146</xdr:rowOff>
    </xdr:from>
    <xdr:ext cx="320601" cy="264560"/>
    <xdr:sp macro="" textlink="">
      <xdr:nvSpPr>
        <xdr:cNvPr id="14" name="Textfeld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5120865" y="2588725"/>
          <a:ext cx="3206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CH" sz="1100"/>
            <a:t>RL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5129" name="ScrollBar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320300</xdr:colOff>
      <xdr:row>2</xdr:row>
      <xdr:rowOff>135541</xdr:rowOff>
    </xdr:from>
    <xdr:to>
      <xdr:col>4</xdr:col>
      <xdr:colOff>413509</xdr:colOff>
      <xdr:row>3</xdr:row>
      <xdr:rowOff>55152</xdr:rowOff>
    </xdr:to>
    <xdr:sp macro="" textlink="">
      <xdr:nvSpPr>
        <xdr:cNvPr id="2" name="Gleichschenkliges Dreiec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 rot="5400000">
          <a:off x="2909793" y="503561"/>
          <a:ext cx="105349" cy="93209"/>
        </a:xfrm>
        <a:prstGeom prst="triangl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6</xdr:col>
      <xdr:colOff>104775</xdr:colOff>
      <xdr:row>18</xdr:row>
      <xdr:rowOff>152399</xdr:rowOff>
    </xdr:from>
    <xdr:to>
      <xdr:col>7</xdr:col>
      <xdr:colOff>40140</xdr:colOff>
      <xdr:row>19</xdr:row>
      <xdr:rowOff>40140</xdr:rowOff>
    </xdr:to>
    <xdr:sp macro="" textlink="">
      <xdr:nvSpPr>
        <xdr:cNvPr id="4" name="Ellips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633788" y="3486149"/>
          <a:ext cx="68715" cy="73479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14</xdr:col>
      <xdr:colOff>226091</xdr:colOff>
      <xdr:row>16</xdr:row>
      <xdr:rowOff>176420</xdr:rowOff>
    </xdr:from>
    <xdr:to>
      <xdr:col>15</xdr:col>
      <xdr:colOff>91122</xdr:colOff>
      <xdr:row>17</xdr:row>
      <xdr:rowOff>114934</xdr:rowOff>
    </xdr:to>
    <xdr:sp macro="" textlink="">
      <xdr:nvSpPr>
        <xdr:cNvPr id="5" name="Gleichschenkliges Dreieck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 rot="10800000">
          <a:off x="5710904" y="3200608"/>
          <a:ext cx="150781" cy="129014"/>
        </a:xfrm>
        <a:prstGeom prst="triangl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752475</xdr:colOff>
          <xdr:row>11</xdr:row>
          <xdr:rowOff>9525</xdr:rowOff>
        </xdr:from>
        <xdr:to>
          <xdr:col>1</xdr:col>
          <xdr:colOff>904875</xdr:colOff>
          <xdr:row>13</xdr:row>
          <xdr:rowOff>28575</xdr:rowOff>
        </xdr:to>
        <xdr:sp macro="" textlink="">
          <xdr:nvSpPr>
            <xdr:cNvPr id="6145" name="Spinne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103740</xdr:colOff>
      <xdr:row>17</xdr:row>
      <xdr:rowOff>155605</xdr:rowOff>
    </xdr:from>
    <xdr:to>
      <xdr:col>3</xdr:col>
      <xdr:colOff>64209</xdr:colOff>
      <xdr:row>18</xdr:row>
      <xdr:rowOff>77418</xdr:rowOff>
    </xdr:to>
    <xdr:sp macro="" textlink="">
      <xdr:nvSpPr>
        <xdr:cNvPr id="6" name="Gleichschenkliges Dreieck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 rot="10800000">
          <a:off x="1780140" y="3303618"/>
          <a:ext cx="127157" cy="107550"/>
        </a:xfrm>
        <a:prstGeom prst="triangl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oneCellAnchor>
    <xdr:from>
      <xdr:col>5</xdr:col>
      <xdr:colOff>172521</xdr:colOff>
      <xdr:row>10</xdr:row>
      <xdr:rowOff>65515</xdr:rowOff>
    </xdr:from>
    <xdr:ext cx="261290" cy="264560"/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3520559" y="1922890"/>
          <a:ext cx="26129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CH" sz="1100"/>
            <a:t>R</a:t>
          </a:r>
        </a:p>
      </xdr:txBody>
    </xdr:sp>
    <xdr:clientData/>
  </xdr:oneCellAnchor>
  <xdr:twoCellAnchor>
    <xdr:from>
      <xdr:col>5</xdr:col>
      <xdr:colOff>51869</xdr:colOff>
      <xdr:row>9</xdr:row>
      <xdr:rowOff>141460</xdr:rowOff>
    </xdr:from>
    <xdr:to>
      <xdr:col>8</xdr:col>
      <xdr:colOff>113168</xdr:colOff>
      <xdr:row>10</xdr:row>
      <xdr:rowOff>174468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CxnSpPr/>
      </xdr:nvCxnSpPr>
      <xdr:spPr>
        <a:xfrm flipH="1" flipV="1">
          <a:off x="3399907" y="1794048"/>
          <a:ext cx="508974" cy="237795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161925</xdr:colOff>
          <xdr:row>16</xdr:row>
          <xdr:rowOff>49695</xdr:rowOff>
        </xdr:from>
        <xdr:to>
          <xdr:col>20</xdr:col>
          <xdr:colOff>9525</xdr:colOff>
          <xdr:row>17</xdr:row>
          <xdr:rowOff>78270</xdr:rowOff>
        </xdr:to>
        <xdr:sp macro="" textlink="">
          <xdr:nvSpPr>
            <xdr:cNvPr id="6146" name="ScrollBar1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15</xdr:col>
      <xdr:colOff>84875</xdr:colOff>
      <xdr:row>14</xdr:row>
      <xdr:rowOff>14146</xdr:rowOff>
    </xdr:from>
    <xdr:ext cx="320601" cy="264560"/>
    <xdr:sp macro="" textlink="">
      <xdr:nvSpPr>
        <xdr:cNvPr id="10" name="Textfeld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5842738" y="2614471"/>
          <a:ext cx="3206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CH" sz="1100"/>
            <a:t>RL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8283</xdr:colOff>
          <xdr:row>10</xdr:row>
          <xdr:rowOff>33130</xdr:rowOff>
        </xdr:from>
        <xdr:to>
          <xdr:col>5</xdr:col>
          <xdr:colOff>8283</xdr:colOff>
          <xdr:row>11</xdr:row>
          <xdr:rowOff>33130</xdr:rowOff>
        </xdr:to>
        <xdr:sp macro="" textlink="">
          <xdr:nvSpPr>
            <xdr:cNvPr id="6147" name="ScrollBar2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752475</xdr:colOff>
          <xdr:row>13</xdr:row>
          <xdr:rowOff>0</xdr:rowOff>
        </xdr:from>
        <xdr:to>
          <xdr:col>5</xdr:col>
          <xdr:colOff>0</xdr:colOff>
          <xdr:row>14</xdr:row>
          <xdr:rowOff>9525</xdr:rowOff>
        </xdr:to>
        <xdr:sp macro="" textlink="">
          <xdr:nvSpPr>
            <xdr:cNvPr id="6148" name="ScrollBar3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439785</xdr:colOff>
      <xdr:row>21</xdr:row>
      <xdr:rowOff>169390</xdr:rowOff>
    </xdr:from>
    <xdr:to>
      <xdr:col>26</xdr:col>
      <xdr:colOff>394076</xdr:colOff>
      <xdr:row>37</xdr:row>
      <xdr:rowOff>35556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891237</xdr:colOff>
      <xdr:row>21</xdr:row>
      <xdr:rowOff>170243</xdr:rowOff>
    </xdr:from>
    <xdr:to>
      <xdr:col>19</xdr:col>
      <xdr:colOff>111378</xdr:colOff>
      <xdr:row>37</xdr:row>
      <xdr:rowOff>34504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Alles löschen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564062</xdr:colOff>
      <xdr:row>22</xdr:row>
      <xdr:rowOff>7867</xdr:rowOff>
    </xdr:from>
    <xdr:to>
      <xdr:col>32</xdr:col>
      <xdr:colOff>664714</xdr:colOff>
      <xdr:row>36</xdr:row>
      <xdr:rowOff>137433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1.emf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5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9.xml"/><Relationship Id="rId5" Type="http://schemas.openxmlformats.org/officeDocument/2006/relationships/image" Target="../media/image4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11" Type="http://schemas.openxmlformats.org/officeDocument/2006/relationships/ctrlProp" Target="../ctrlProps/ctrlProp9.xml"/><Relationship Id="rId5" Type="http://schemas.openxmlformats.org/officeDocument/2006/relationships/image" Target="../media/image6.emf"/><Relationship Id="rId10" Type="http://schemas.openxmlformats.org/officeDocument/2006/relationships/ctrlProp" Target="../ctrlProps/ctrlProp8.xml"/><Relationship Id="rId4" Type="http://schemas.openxmlformats.org/officeDocument/2006/relationships/control" Target="../activeX/activeX10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75A93-091D-4925-9B24-03DFD97B4A41}">
  <sheetPr codeName="Tabelle2"/>
  <dimension ref="B2:L20"/>
  <sheetViews>
    <sheetView showGridLines="0" zoomScale="140" zoomScaleNormal="140" workbookViewId="0">
      <selection activeCell="H21" sqref="H21"/>
    </sheetView>
  </sheetViews>
  <sheetFormatPr baseColWidth="10" defaultColWidth="11.42578125" defaultRowHeight="15" x14ac:dyDescent="0.25"/>
  <cols>
    <col min="2" max="2" width="10.5703125" customWidth="1"/>
    <col min="3" max="3" width="8.42578125" customWidth="1"/>
    <col min="4" max="4" width="12.140625" customWidth="1"/>
    <col min="5" max="5" width="2.5703125" customWidth="1"/>
    <col min="6" max="7" width="1.85546875" customWidth="1"/>
    <col min="12" max="12" width="9.85546875" customWidth="1"/>
  </cols>
  <sheetData>
    <row r="2" spans="2:12" x14ac:dyDescent="0.25">
      <c r="C2" s="5"/>
      <c r="D2" s="11">
        <f>IFERROR(B11/(H8+H16),0)</f>
        <v>10</v>
      </c>
    </row>
    <row r="3" spans="2:12" ht="15.75" thickBot="1" x14ac:dyDescent="0.3">
      <c r="C3" s="2"/>
      <c r="D3" s="2"/>
      <c r="E3" s="2"/>
      <c r="F3" s="2"/>
    </row>
    <row r="4" spans="2:12" ht="15.75" thickTop="1" x14ac:dyDescent="0.25">
      <c r="F4" s="15"/>
    </row>
    <row r="5" spans="2:12" ht="15.75" thickBot="1" x14ac:dyDescent="0.3">
      <c r="B5" s="6"/>
      <c r="G5" s="1"/>
    </row>
    <row r="6" spans="2:12" x14ac:dyDescent="0.25">
      <c r="B6" s="6"/>
      <c r="D6" s="6"/>
      <c r="F6" s="88"/>
      <c r="G6" s="91"/>
    </row>
    <row r="7" spans="2:12" x14ac:dyDescent="0.25">
      <c r="B7" s="6"/>
      <c r="D7" s="19">
        <f>D2*H8</f>
        <v>100</v>
      </c>
      <c r="F7" s="89"/>
      <c r="G7" s="92"/>
    </row>
    <row r="8" spans="2:12" x14ac:dyDescent="0.25">
      <c r="B8" s="6"/>
      <c r="D8" s="6"/>
      <c r="F8" s="89"/>
      <c r="G8" s="92"/>
      <c r="H8" s="8">
        <v>10</v>
      </c>
    </row>
    <row r="9" spans="2:12" ht="18.75" thickBot="1" x14ac:dyDescent="0.4">
      <c r="B9" s="6"/>
      <c r="D9" s="6"/>
      <c r="F9" s="90"/>
      <c r="G9" s="93"/>
      <c r="J9" s="9"/>
    </row>
    <row r="10" spans="2:12" ht="18" x14ac:dyDescent="0.35">
      <c r="B10" s="6"/>
      <c r="G10" s="1"/>
      <c r="J10" s="9"/>
      <c r="L10" s="7"/>
    </row>
    <row r="11" spans="2:12" ht="15.75" thickBot="1" x14ac:dyDescent="0.3">
      <c r="B11" s="16">
        <v>200</v>
      </c>
      <c r="G11" s="3"/>
      <c r="H11" s="2"/>
      <c r="I11" s="2"/>
    </row>
    <row r="12" spans="2:12" ht="15.75" thickTop="1" x14ac:dyDescent="0.25">
      <c r="B12" s="10"/>
      <c r="G12" s="1"/>
    </row>
    <row r="13" spans="2:12" ht="15.75" thickBot="1" x14ac:dyDescent="0.3">
      <c r="B13" s="6"/>
      <c r="G13" s="1"/>
      <c r="I13" s="6"/>
      <c r="K13" s="18"/>
    </row>
    <row r="14" spans="2:12" x14ac:dyDescent="0.25">
      <c r="B14" s="6"/>
      <c r="F14" s="88"/>
      <c r="G14" s="91"/>
      <c r="I14" s="6"/>
      <c r="K14" s="18"/>
    </row>
    <row r="15" spans="2:12" x14ac:dyDescent="0.25">
      <c r="B15" s="6"/>
      <c r="F15" s="89"/>
      <c r="G15" s="92"/>
      <c r="I15" s="12">
        <f>IF(D2=0,0,(B11-D7))</f>
        <v>100</v>
      </c>
      <c r="K15" s="18"/>
    </row>
    <row r="16" spans="2:12" x14ac:dyDescent="0.25">
      <c r="B16" s="6"/>
      <c r="D16" s="13"/>
      <c r="F16" s="89"/>
      <c r="G16" s="92"/>
      <c r="H16" s="8">
        <v>10</v>
      </c>
      <c r="I16" s="6"/>
      <c r="K16" s="18"/>
    </row>
    <row r="17" spans="2:11" ht="15.75" thickBot="1" x14ac:dyDescent="0.3">
      <c r="B17" s="6"/>
      <c r="F17" s="90"/>
      <c r="G17" s="93"/>
      <c r="I17" s="6"/>
      <c r="K17" s="18"/>
    </row>
    <row r="18" spans="2:11" x14ac:dyDescent="0.25">
      <c r="B18" s="6"/>
      <c r="F18" s="14"/>
      <c r="I18" s="6"/>
      <c r="K18" s="17"/>
    </row>
    <row r="19" spans="2:11" ht="15.75" thickBot="1" x14ac:dyDescent="0.3">
      <c r="C19" s="2"/>
      <c r="D19" s="2"/>
      <c r="E19" s="2"/>
      <c r="F19" s="4"/>
      <c r="G19" s="3"/>
      <c r="H19" s="2"/>
      <c r="I19" s="2"/>
    </row>
    <row r="20" spans="2:11" ht="15.75" thickTop="1" x14ac:dyDescent="0.25"/>
  </sheetData>
  <mergeCells count="4">
    <mergeCell ref="F6:F9"/>
    <mergeCell ref="F14:F17"/>
    <mergeCell ref="G6:G9"/>
    <mergeCell ref="G14:G17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37FC8-D73D-41BE-8364-EB1987F78EA4}">
  <sheetPr codeName="Tabelle3"/>
  <dimension ref="B2:M20"/>
  <sheetViews>
    <sheetView showGridLines="0" zoomScale="101" zoomScaleNormal="150" workbookViewId="0">
      <selection activeCell="E12" sqref="E12"/>
    </sheetView>
  </sheetViews>
  <sheetFormatPr baseColWidth="10" defaultColWidth="11.42578125" defaultRowHeight="15" x14ac:dyDescent="0.25"/>
  <cols>
    <col min="2" max="2" width="12.85546875" customWidth="1"/>
    <col min="3" max="3" width="2.28515625" customWidth="1"/>
    <col min="4" max="4" width="10.5703125" customWidth="1"/>
    <col min="5" max="5" width="10.28515625" customWidth="1"/>
    <col min="6" max="6" width="2.5703125" customWidth="1"/>
    <col min="7" max="8" width="1.85546875" customWidth="1"/>
    <col min="9" max="9" width="0.5703125" customWidth="1"/>
    <col min="13" max="13" width="9.85546875" customWidth="1"/>
  </cols>
  <sheetData>
    <row r="2" spans="2:13" x14ac:dyDescent="0.25">
      <c r="D2" s="5"/>
      <c r="E2" s="11">
        <f>IFERROR(B11/(J8+J16),0)</f>
        <v>0</v>
      </c>
    </row>
    <row r="3" spans="2:13" ht="15.75" thickBot="1" x14ac:dyDescent="0.3">
      <c r="D3" s="2"/>
      <c r="E3" s="2"/>
      <c r="F3" s="2"/>
      <c r="G3" s="2"/>
    </row>
    <row r="4" spans="2:13" ht="15.75" thickTop="1" x14ac:dyDescent="0.25">
      <c r="G4" s="15"/>
    </row>
    <row r="5" spans="2:13" ht="15.75" thickBot="1" x14ac:dyDescent="0.3">
      <c r="C5" s="6"/>
      <c r="H5" s="1"/>
    </row>
    <row r="6" spans="2:13" x14ac:dyDescent="0.25">
      <c r="C6" s="6"/>
      <c r="E6" s="6"/>
      <c r="G6" s="88"/>
      <c r="H6" s="91"/>
    </row>
    <row r="7" spans="2:13" x14ac:dyDescent="0.25">
      <c r="C7" s="6"/>
      <c r="E7" s="19">
        <f>E2*J8</f>
        <v>0</v>
      </c>
      <c r="G7" s="89"/>
      <c r="H7" s="92"/>
    </row>
    <row r="8" spans="2:13" x14ac:dyDescent="0.25">
      <c r="C8" s="6"/>
      <c r="E8" s="6"/>
      <c r="G8" s="89"/>
      <c r="H8" s="92"/>
      <c r="J8" s="8">
        <v>0</v>
      </c>
    </row>
    <row r="9" spans="2:13" ht="15.6" customHeight="1" thickBot="1" x14ac:dyDescent="0.4">
      <c r="C9" s="6"/>
      <c r="E9" s="6"/>
      <c r="G9" s="90"/>
      <c r="H9" s="93"/>
      <c r="K9" s="9"/>
    </row>
    <row r="10" spans="2:13" ht="18" x14ac:dyDescent="0.35">
      <c r="C10" s="6"/>
      <c r="H10" s="1"/>
      <c r="K10" s="9"/>
      <c r="M10" s="7"/>
    </row>
    <row r="11" spans="2:13" ht="15.75" thickBot="1" x14ac:dyDescent="0.3">
      <c r="B11" s="20">
        <v>0</v>
      </c>
      <c r="C11" s="6"/>
      <c r="H11" s="3"/>
      <c r="J11" s="2"/>
      <c r="K11" s="2"/>
    </row>
    <row r="12" spans="2:13" ht="15.75" thickTop="1" x14ac:dyDescent="0.25">
      <c r="C12" s="10"/>
      <c r="H12" s="1"/>
    </row>
    <row r="13" spans="2:13" ht="15.75" thickBot="1" x14ac:dyDescent="0.3">
      <c r="C13" s="6"/>
      <c r="H13" s="1"/>
      <c r="K13" s="6"/>
    </row>
    <row r="14" spans="2:13" x14ac:dyDescent="0.25">
      <c r="C14" s="6"/>
      <c r="G14" s="88"/>
      <c r="H14" s="91"/>
      <c r="K14" s="6"/>
    </row>
    <row r="15" spans="2:13" x14ac:dyDescent="0.25">
      <c r="C15" s="6"/>
      <c r="G15" s="89"/>
      <c r="H15" s="92"/>
      <c r="K15" s="12">
        <f>IF(E2=0,0,(B11-E7))</f>
        <v>0</v>
      </c>
    </row>
    <row r="16" spans="2:13" x14ac:dyDescent="0.25">
      <c r="C16" s="6"/>
      <c r="E16" s="13"/>
      <c r="G16" s="89"/>
      <c r="H16" s="92"/>
      <c r="J16" s="8">
        <v>0</v>
      </c>
      <c r="K16" s="6"/>
    </row>
    <row r="17" spans="3:11" ht="15.75" thickBot="1" x14ac:dyDescent="0.3">
      <c r="C17" s="6"/>
      <c r="G17" s="90"/>
      <c r="H17" s="93"/>
      <c r="K17" s="6"/>
    </row>
    <row r="18" spans="3:11" x14ac:dyDescent="0.25">
      <c r="C18" s="6"/>
      <c r="G18" s="14"/>
      <c r="K18" s="6"/>
    </row>
    <row r="19" spans="3:11" ht="15.75" thickBot="1" x14ac:dyDescent="0.3">
      <c r="D19" s="2"/>
      <c r="E19" s="2"/>
      <c r="F19" s="2"/>
      <c r="G19" s="4"/>
      <c r="H19" s="3"/>
      <c r="J19" s="2"/>
      <c r="K19" s="2"/>
    </row>
    <row r="20" spans="3:11" ht="15.75" thickTop="1" x14ac:dyDescent="0.25"/>
  </sheetData>
  <mergeCells count="4">
    <mergeCell ref="G6:G9"/>
    <mergeCell ref="H6:H9"/>
    <mergeCell ref="G14:G17"/>
    <mergeCell ref="H14:H1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6" r:id="rId4" name="ScrollBar2">
          <controlPr defaultSize="0" autoLine="0" linkedCell="J8" r:id="rId5">
            <anchor moveWithCells="1">
              <from>
                <xdr:col>9</xdr:col>
                <xdr:colOff>0</xdr:colOff>
                <xdr:row>8</xdr:row>
                <xdr:rowOff>0</xdr:rowOff>
              </from>
              <to>
                <xdr:col>10</xdr:col>
                <xdr:colOff>0</xdr:colOff>
                <xdr:row>9</xdr:row>
                <xdr:rowOff>9525</xdr:rowOff>
              </to>
            </anchor>
          </controlPr>
        </control>
      </mc:Choice>
      <mc:Fallback>
        <control shapeId="2066" r:id="rId4" name="ScrollBar2"/>
      </mc:Fallback>
    </mc:AlternateContent>
    <mc:AlternateContent xmlns:mc="http://schemas.openxmlformats.org/markup-compatibility/2006">
      <mc:Choice Requires="x14">
        <control shapeId="2065" r:id="rId6" name="ScrollBar1">
          <controlPr defaultSize="0" autoLine="0" linkedCell="J16" r:id="rId7">
            <anchor moveWithCells="1">
              <from>
                <xdr:col>9</xdr:col>
                <xdr:colOff>0</xdr:colOff>
                <xdr:row>16</xdr:row>
                <xdr:rowOff>0</xdr:rowOff>
              </from>
              <to>
                <xdr:col>10</xdr:col>
                <xdr:colOff>0</xdr:colOff>
                <xdr:row>16</xdr:row>
                <xdr:rowOff>180975</xdr:rowOff>
              </to>
            </anchor>
          </controlPr>
        </control>
      </mc:Choice>
      <mc:Fallback>
        <control shapeId="2065" r:id="rId6" name="ScrollBar1"/>
      </mc:Fallback>
    </mc:AlternateContent>
    <mc:AlternateContent xmlns:mc="http://schemas.openxmlformats.org/markup-compatibility/2006">
      <mc:Choice Requires="x14">
        <control shapeId="2056" r:id="rId8" name="Button 8">
          <controlPr defaultSize="0" print="0" autoFill="0" autoPict="0" macro="[0]!alles_löschen">
            <anchor moveWithCells="1" sizeWithCells="1">
              <from>
                <xdr:col>10</xdr:col>
                <xdr:colOff>733425</xdr:colOff>
                <xdr:row>2</xdr:row>
                <xdr:rowOff>0</xdr:rowOff>
              </from>
              <to>
                <xdr:col>12</xdr:col>
                <xdr:colOff>104775</xdr:colOff>
                <xdr:row>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7" r:id="rId9" name="Spinner 9">
          <controlPr defaultSize="0" autoPict="0">
            <anchor moveWithCells="1" sizeWithCells="1">
              <from>
                <xdr:col>1</xdr:col>
                <xdr:colOff>0</xdr:colOff>
                <xdr:row>11</xdr:row>
                <xdr:rowOff>0</xdr:rowOff>
              </from>
              <to>
                <xdr:col>2</xdr:col>
                <xdr:colOff>9525</xdr:colOff>
                <xdr:row>13</xdr:row>
                <xdr:rowOff>28575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A90CB-36E7-400A-94FF-5C73393AEAAE}">
  <sheetPr codeName="Tabelle4"/>
  <dimension ref="B1:S20"/>
  <sheetViews>
    <sheetView showGridLines="0" zoomScale="101" zoomScaleNormal="150" workbookViewId="0">
      <selection activeCell="E12" sqref="E12"/>
    </sheetView>
  </sheetViews>
  <sheetFormatPr baseColWidth="10" defaultColWidth="11.42578125" defaultRowHeight="15" x14ac:dyDescent="0.25"/>
  <cols>
    <col min="2" max="2" width="12.85546875" customWidth="1"/>
    <col min="3" max="3" width="2.28515625" customWidth="1"/>
    <col min="4" max="4" width="10.5703125" customWidth="1"/>
    <col min="5" max="5" width="10.28515625" customWidth="1"/>
    <col min="6" max="6" width="2.5703125" customWidth="1"/>
    <col min="7" max="8" width="1.85546875" customWidth="1"/>
    <col min="9" max="9" width="0.5703125" customWidth="1"/>
    <col min="10" max="10" width="11" customWidth="1"/>
    <col min="13" max="13" width="9.85546875" customWidth="1"/>
    <col min="18" max="18" width="11.85546875" customWidth="1"/>
  </cols>
  <sheetData>
    <row r="1" spans="2:19" ht="15.75" thickBot="1" x14ac:dyDescent="0.3"/>
    <row r="2" spans="2:19" ht="15.75" thickBot="1" x14ac:dyDescent="0.3">
      <c r="D2" s="5"/>
      <c r="E2" s="48">
        <f>IFERROR(B11/(J8+J16),0)</f>
        <v>0</v>
      </c>
      <c r="N2" s="54" t="s">
        <v>0</v>
      </c>
    </row>
    <row r="3" spans="2:19" ht="15.75" thickBot="1" x14ac:dyDescent="0.3">
      <c r="D3" s="2"/>
      <c r="E3" s="2"/>
      <c r="F3" s="2"/>
      <c r="G3" s="2"/>
      <c r="N3" s="53">
        <f>E2</f>
        <v>0</v>
      </c>
    </row>
    <row r="4" spans="2:19" ht="15.75" thickTop="1" x14ac:dyDescent="0.25">
      <c r="G4" s="15"/>
      <c r="N4" s="49">
        <f>B11</f>
        <v>0</v>
      </c>
    </row>
    <row r="5" spans="2:19" ht="15.75" thickBot="1" x14ac:dyDescent="0.3">
      <c r="C5" s="6"/>
      <c r="H5" s="1"/>
      <c r="N5" s="50">
        <f>E7</f>
        <v>0</v>
      </c>
      <c r="R5" s="59">
        <f>IFERROR(K15/B11,0)</f>
        <v>0</v>
      </c>
      <c r="S5" s="60">
        <f>IFERROR(N8/N9,0)</f>
        <v>0</v>
      </c>
    </row>
    <row r="6" spans="2:19" x14ac:dyDescent="0.25">
      <c r="C6" s="6"/>
      <c r="E6" s="6"/>
      <c r="G6" s="88"/>
      <c r="H6" s="91"/>
      <c r="N6" s="51">
        <f>K15</f>
        <v>0</v>
      </c>
      <c r="R6" s="61">
        <v>0</v>
      </c>
      <c r="S6" s="61">
        <v>0</v>
      </c>
    </row>
    <row r="7" spans="2:19" x14ac:dyDescent="0.25">
      <c r="C7" s="6"/>
      <c r="E7" s="63">
        <f>E2*J8</f>
        <v>0</v>
      </c>
      <c r="G7" s="89"/>
      <c r="H7" s="92"/>
      <c r="N7" s="39">
        <f>J8</f>
        <v>0</v>
      </c>
      <c r="R7" s="61">
        <v>1</v>
      </c>
      <c r="S7" s="61">
        <v>1</v>
      </c>
    </row>
    <row r="8" spans="2:19" x14ac:dyDescent="0.25">
      <c r="C8" s="6"/>
      <c r="E8" s="6"/>
      <c r="G8" s="89"/>
      <c r="H8" s="92"/>
      <c r="J8" s="39">
        <v>0</v>
      </c>
      <c r="N8" s="40">
        <f>J16</f>
        <v>0</v>
      </c>
      <c r="R8" s="24"/>
    </row>
    <row r="9" spans="2:19" ht="15.6" customHeight="1" thickBot="1" x14ac:dyDescent="0.4">
      <c r="C9" s="6"/>
      <c r="E9" s="6"/>
      <c r="G9" s="90"/>
      <c r="H9" s="93"/>
      <c r="K9" s="9"/>
      <c r="N9" s="52">
        <f>J8+J16</f>
        <v>0</v>
      </c>
      <c r="R9" s="24"/>
    </row>
    <row r="10" spans="2:19" ht="18" x14ac:dyDescent="0.35">
      <c r="C10" s="6"/>
      <c r="H10" s="1"/>
      <c r="K10" s="9"/>
      <c r="M10" s="7"/>
      <c r="R10" s="24"/>
    </row>
    <row r="11" spans="2:19" ht="15.75" thickBot="1" x14ac:dyDescent="0.3">
      <c r="B11" s="62">
        <v>0</v>
      </c>
      <c r="C11" s="6"/>
      <c r="H11" s="3"/>
      <c r="I11" s="2"/>
      <c r="J11" s="2"/>
      <c r="K11" s="2"/>
    </row>
    <row r="12" spans="2:19" ht="15.75" thickTop="1" x14ac:dyDescent="0.25">
      <c r="C12" s="10"/>
      <c r="H12" s="1"/>
    </row>
    <row r="13" spans="2:19" ht="15.75" thickBot="1" x14ac:dyDescent="0.3">
      <c r="C13" s="6"/>
      <c r="H13" s="1"/>
      <c r="K13" s="6"/>
    </row>
    <row r="14" spans="2:19" x14ac:dyDescent="0.25">
      <c r="C14" s="6"/>
      <c r="G14" s="88"/>
      <c r="H14" s="91"/>
      <c r="K14" s="6"/>
    </row>
    <row r="15" spans="2:19" x14ac:dyDescent="0.25">
      <c r="C15" s="6"/>
      <c r="G15" s="89"/>
      <c r="H15" s="92"/>
      <c r="K15" s="69">
        <f>IF(E2=0,0,(B11-E7))</f>
        <v>0</v>
      </c>
      <c r="L15" s="70"/>
    </row>
    <row r="16" spans="2:19" x14ac:dyDescent="0.25">
      <c r="C16" s="6"/>
      <c r="E16" s="13"/>
      <c r="G16" s="89"/>
      <c r="H16" s="92"/>
      <c r="J16" s="40">
        <v>0</v>
      </c>
      <c r="K16" s="6"/>
    </row>
    <row r="17" spans="3:11" ht="15.75" thickBot="1" x14ac:dyDescent="0.3">
      <c r="C17" s="6"/>
      <c r="G17" s="90"/>
      <c r="H17" s="93"/>
      <c r="K17" s="6"/>
    </row>
    <row r="18" spans="3:11" x14ac:dyDescent="0.25">
      <c r="C18" s="6"/>
      <c r="G18" s="14"/>
      <c r="K18" s="6"/>
    </row>
    <row r="19" spans="3:11" ht="15.75" thickBot="1" x14ac:dyDescent="0.3">
      <c r="D19" s="2"/>
      <c r="E19" s="2"/>
      <c r="F19" s="2"/>
      <c r="G19" s="4"/>
      <c r="H19" s="3"/>
      <c r="I19" s="2"/>
      <c r="J19" s="2"/>
      <c r="K19" s="2"/>
    </row>
    <row r="20" spans="3:11" ht="15.75" thickTop="1" x14ac:dyDescent="0.25"/>
  </sheetData>
  <mergeCells count="4">
    <mergeCell ref="G6:G9"/>
    <mergeCell ref="H6:H9"/>
    <mergeCell ref="G14:G17"/>
    <mergeCell ref="H14:H1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6" r:id="rId4" name="ScrollBar2">
          <controlPr defaultSize="0" autoLine="0" linkedCell="J8" r:id="rId5">
            <anchor moveWithCells="1">
              <from>
                <xdr:col>9</xdr:col>
                <xdr:colOff>0</xdr:colOff>
                <xdr:row>8</xdr:row>
                <xdr:rowOff>0</xdr:rowOff>
              </from>
              <to>
                <xdr:col>10</xdr:col>
                <xdr:colOff>28575</xdr:colOff>
                <xdr:row>9</xdr:row>
                <xdr:rowOff>9525</xdr:rowOff>
              </to>
            </anchor>
          </controlPr>
        </control>
      </mc:Choice>
      <mc:Fallback>
        <control shapeId="3076" r:id="rId4" name="ScrollBar2"/>
      </mc:Fallback>
    </mc:AlternateContent>
    <mc:AlternateContent xmlns:mc="http://schemas.openxmlformats.org/markup-compatibility/2006">
      <mc:Choice Requires="x14">
        <control shapeId="3075" r:id="rId6" name="ScrollBar1">
          <controlPr defaultSize="0" autoLine="0" linkedCell="J16" r:id="rId7">
            <anchor moveWithCells="1">
              <from>
                <xdr:col>9</xdr:col>
                <xdr:colOff>0</xdr:colOff>
                <xdr:row>16</xdr:row>
                <xdr:rowOff>0</xdr:rowOff>
              </from>
              <to>
                <xdr:col>10</xdr:col>
                <xdr:colOff>28575</xdr:colOff>
                <xdr:row>16</xdr:row>
                <xdr:rowOff>180975</xdr:rowOff>
              </to>
            </anchor>
          </controlPr>
        </control>
      </mc:Choice>
      <mc:Fallback>
        <control shapeId="3075" r:id="rId6" name="ScrollBar1"/>
      </mc:Fallback>
    </mc:AlternateContent>
    <mc:AlternateContent xmlns:mc="http://schemas.openxmlformats.org/markup-compatibility/2006">
      <mc:Choice Requires="x14">
        <control shapeId="3073" r:id="rId8" name="Button 1">
          <controlPr defaultSize="0" print="0" autoFill="0" autoPict="0" macro="[0]!alles_löschen">
            <anchor moveWithCells="1" sizeWithCells="1">
              <from>
                <xdr:col>10</xdr:col>
                <xdr:colOff>733425</xdr:colOff>
                <xdr:row>2</xdr:row>
                <xdr:rowOff>0</xdr:rowOff>
              </from>
              <to>
                <xdr:col>12</xdr:col>
                <xdr:colOff>238125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9" name="Spinner 2">
          <controlPr defaultSize="0" autoPict="0">
            <anchor moveWithCells="1" sizeWithCells="1">
              <from>
                <xdr:col>1</xdr:col>
                <xdr:colOff>0</xdr:colOff>
                <xdr:row>11</xdr:row>
                <xdr:rowOff>0</xdr:rowOff>
              </from>
              <to>
                <xdr:col>2</xdr:col>
                <xdr:colOff>9525</xdr:colOff>
                <xdr:row>13</xdr:row>
                <xdr:rowOff>28575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15225-7A2E-43EB-A61E-D350241E212B}">
  <sheetPr codeName="Tabelle5"/>
  <dimension ref="B2:AK31"/>
  <sheetViews>
    <sheetView showGridLines="0" topLeftCell="A3" zoomScaleNormal="100" workbookViewId="0">
      <selection activeCell="W18" sqref="W18"/>
    </sheetView>
  </sheetViews>
  <sheetFormatPr baseColWidth="10" defaultColWidth="11.42578125" defaultRowHeight="15" x14ac:dyDescent="0.25"/>
  <cols>
    <col min="2" max="2" width="12.85546875" customWidth="1"/>
    <col min="3" max="3" width="2.28515625" customWidth="1"/>
    <col min="4" max="4" width="10.5703125" customWidth="1"/>
    <col min="5" max="5" width="10.28515625" customWidth="1"/>
    <col min="6" max="6" width="2.5703125" customWidth="1"/>
    <col min="7" max="8" width="1.85546875" customWidth="1"/>
    <col min="9" max="9" width="0.5703125" customWidth="1"/>
    <col min="10" max="10" width="10.85546875" customWidth="1"/>
    <col min="11" max="12" width="4" customWidth="1"/>
    <col min="13" max="13" width="3" customWidth="1"/>
    <col min="14" max="14" width="2.85546875" customWidth="1"/>
    <col min="15" max="15" width="2.140625" customWidth="1"/>
    <col min="16" max="16" width="1.85546875" customWidth="1"/>
    <col min="17" max="17" width="2.5703125" customWidth="1"/>
    <col min="18" max="18" width="2" customWidth="1"/>
    <col min="19" max="20" width="1.85546875" customWidth="1"/>
    <col min="21" max="21" width="0.85546875" customWidth="1"/>
    <col min="22" max="22" width="10.85546875" customWidth="1"/>
  </cols>
  <sheetData>
    <row r="2" spans="2:27" x14ac:dyDescent="0.25">
      <c r="D2" s="5"/>
      <c r="E2" s="48">
        <f>IFERROR(B11/(J8+W10),0)</f>
        <v>0</v>
      </c>
      <c r="W2" s="47" t="s">
        <v>0</v>
      </c>
    </row>
    <row r="3" spans="2:27" ht="15.75" thickBot="1" x14ac:dyDescent="0.3">
      <c r="D3" s="2"/>
      <c r="E3" s="2"/>
      <c r="F3" s="2"/>
      <c r="G3" s="2"/>
      <c r="W3" s="48">
        <f>E2</f>
        <v>0</v>
      </c>
    </row>
    <row r="4" spans="2:27" ht="15.75" thickTop="1" x14ac:dyDescent="0.25">
      <c r="G4" s="15"/>
      <c r="W4" s="42">
        <f>B11</f>
        <v>0</v>
      </c>
    </row>
    <row r="5" spans="2:27" ht="15.75" thickBot="1" x14ac:dyDescent="0.3">
      <c r="C5" s="6"/>
      <c r="H5" s="1"/>
      <c r="W5" s="73">
        <f>E7</f>
        <v>0</v>
      </c>
      <c r="Z5" s="24"/>
      <c r="AA5" s="38"/>
    </row>
    <row r="6" spans="2:27" x14ac:dyDescent="0.25">
      <c r="C6" s="6"/>
      <c r="E6" s="6"/>
      <c r="G6" s="88"/>
      <c r="H6" s="91"/>
      <c r="W6" s="72">
        <f>M14</f>
        <v>0</v>
      </c>
    </row>
    <row r="7" spans="2:27" x14ac:dyDescent="0.25">
      <c r="C7" s="6"/>
      <c r="E7" s="29">
        <f>E2*J8</f>
        <v>0</v>
      </c>
      <c r="G7" s="89"/>
      <c r="H7" s="92"/>
      <c r="W7" s="44">
        <f>J8</f>
        <v>0</v>
      </c>
    </row>
    <row r="8" spans="2:27" x14ac:dyDescent="0.25">
      <c r="C8" s="6"/>
      <c r="E8" s="6"/>
      <c r="G8" s="89"/>
      <c r="H8" s="92"/>
      <c r="J8" s="65">
        <v>0</v>
      </c>
      <c r="W8" s="45">
        <f>J16</f>
        <v>0</v>
      </c>
    </row>
    <row r="9" spans="2:27" ht="15.6" customHeight="1" thickBot="1" x14ac:dyDescent="0.4">
      <c r="C9" s="6"/>
      <c r="E9" s="6"/>
      <c r="G9" s="90"/>
      <c r="H9" s="93"/>
      <c r="K9" s="9"/>
      <c r="L9" s="9"/>
      <c r="M9" s="9"/>
      <c r="N9" s="9"/>
      <c r="W9" s="46">
        <f>V16</f>
        <v>0</v>
      </c>
    </row>
    <row r="10" spans="2:27" ht="18" x14ac:dyDescent="0.35">
      <c r="C10" s="6"/>
      <c r="H10" s="1"/>
      <c r="K10" s="9"/>
      <c r="L10" s="9"/>
      <c r="M10" s="9"/>
      <c r="N10" s="9"/>
      <c r="P10" s="7"/>
      <c r="W10" s="64">
        <f>IFERROR((J16*V16)/(J16+V16),0)</f>
        <v>0</v>
      </c>
    </row>
    <row r="11" spans="2:27" ht="15.75" thickBot="1" x14ac:dyDescent="0.3">
      <c r="B11" s="42">
        <v>0</v>
      </c>
      <c r="C11" s="6"/>
      <c r="H11" s="3"/>
      <c r="I11" s="2"/>
      <c r="J11" s="2"/>
      <c r="K11" s="2"/>
      <c r="W11" s="71">
        <f>W10+W7</f>
        <v>0</v>
      </c>
    </row>
    <row r="12" spans="2:27" ht="15.75" thickTop="1" x14ac:dyDescent="0.25">
      <c r="C12" s="10"/>
      <c r="H12" s="1"/>
      <c r="L12" s="21"/>
      <c r="M12" s="21"/>
      <c r="N12" s="21"/>
      <c r="O12" s="21"/>
      <c r="P12" s="21"/>
      <c r="Q12" s="21"/>
      <c r="R12" s="21"/>
      <c r="S12" s="15"/>
    </row>
    <row r="13" spans="2:27" ht="15.75" thickBot="1" x14ac:dyDescent="0.3">
      <c r="C13" s="6"/>
      <c r="H13" s="1"/>
      <c r="M13" s="95"/>
      <c r="N13" s="95"/>
      <c r="O13" s="95"/>
      <c r="P13" s="95"/>
      <c r="S13" s="23"/>
    </row>
    <row r="14" spans="2:27" ht="15.75" thickTop="1" x14ac:dyDescent="0.25">
      <c r="C14" s="6"/>
      <c r="G14" s="88"/>
      <c r="H14" s="91"/>
      <c r="K14" s="24"/>
      <c r="L14" s="24"/>
      <c r="M14" s="94">
        <f>W10*E2</f>
        <v>0</v>
      </c>
      <c r="N14" s="94"/>
      <c r="O14" s="94"/>
      <c r="P14" s="94"/>
      <c r="Q14" s="28"/>
      <c r="S14" s="22"/>
      <c r="T14" s="15"/>
    </row>
    <row r="15" spans="2:27" x14ac:dyDescent="0.25">
      <c r="C15" s="6"/>
      <c r="G15" s="89"/>
      <c r="H15" s="92"/>
      <c r="Q15" s="6"/>
      <c r="S15" s="1"/>
      <c r="T15" s="23"/>
    </row>
    <row r="16" spans="2:27" x14ac:dyDescent="0.25">
      <c r="C16" s="6"/>
      <c r="E16" s="13"/>
      <c r="G16" s="89"/>
      <c r="H16" s="92"/>
      <c r="J16" s="66">
        <v>0</v>
      </c>
      <c r="Q16" s="6"/>
      <c r="S16" s="1"/>
      <c r="T16" s="23"/>
      <c r="V16" s="67">
        <v>0</v>
      </c>
    </row>
    <row r="17" spans="3:37" ht="15.75" thickBot="1" x14ac:dyDescent="0.3">
      <c r="C17" s="6"/>
      <c r="G17" s="90"/>
      <c r="H17" s="93"/>
      <c r="Q17" s="6"/>
      <c r="S17" s="3"/>
      <c r="T17" s="4"/>
    </row>
    <row r="18" spans="3:37" ht="15.75" thickTop="1" x14ac:dyDescent="0.25">
      <c r="C18" s="6"/>
      <c r="G18" s="14"/>
      <c r="S18" s="15"/>
      <c r="AE18" s="77" t="s">
        <v>1</v>
      </c>
      <c r="AF18" s="77" t="s">
        <v>2</v>
      </c>
      <c r="AG18" s="77" t="s">
        <v>3</v>
      </c>
      <c r="AH18" s="77" t="s">
        <v>4</v>
      </c>
      <c r="AI18" s="77" t="s">
        <v>5</v>
      </c>
      <c r="AJ18" s="77" t="s">
        <v>6</v>
      </c>
      <c r="AK18" s="77" t="s">
        <v>7</v>
      </c>
    </row>
    <row r="19" spans="3:37" ht="15.75" thickBot="1" x14ac:dyDescent="0.3">
      <c r="D19" s="2"/>
      <c r="E19" s="2"/>
      <c r="F19" s="2"/>
      <c r="G19" s="4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4"/>
      <c r="AE19" s="78">
        <v>0</v>
      </c>
      <c r="AF19" s="79">
        <f>IFERROR(($B$11/(AI19+AK19)*AK19)/$B$11,0)</f>
        <v>0</v>
      </c>
      <c r="AG19" s="80">
        <f>$J$8+$J$16</f>
        <v>0</v>
      </c>
      <c r="AH19" s="80">
        <f>$V$16</f>
        <v>0</v>
      </c>
      <c r="AI19" s="80">
        <f>AG19-AJ19</f>
        <v>0</v>
      </c>
      <c r="AJ19" s="80">
        <f>AG19*AE19</f>
        <v>0</v>
      </c>
      <c r="AK19" s="81" t="e">
        <f>(AJ19*AH19)/(AH19+AJ19)</f>
        <v>#DIV/0!</v>
      </c>
    </row>
    <row r="20" spans="3:37" ht="15.75" thickTop="1" x14ac:dyDescent="0.25">
      <c r="N20" t="s">
        <v>8</v>
      </c>
      <c r="AE20" s="78">
        <v>0.1</v>
      </c>
      <c r="AF20" s="79">
        <f>IFERROR(($B$11/(AI20+AK20)*AK20)/$B$11,0)</f>
        <v>0</v>
      </c>
      <c r="AG20" s="80">
        <f>$J$8+$J$16</f>
        <v>0</v>
      </c>
      <c r="AH20" s="80">
        <f>$V$16</f>
        <v>0</v>
      </c>
      <c r="AI20" s="80">
        <f>AG20-AJ20</f>
        <v>0</v>
      </c>
      <c r="AJ20" s="80">
        <f>AG20*AE20</f>
        <v>0</v>
      </c>
      <c r="AK20" s="81" t="e">
        <f>(AJ20*AH20)/(AH20+AJ20)</f>
        <v>#DIV/0!</v>
      </c>
    </row>
    <row r="21" spans="3:37" x14ac:dyDescent="0.25">
      <c r="AE21" s="78">
        <v>0.2</v>
      </c>
      <c r="AF21" s="79">
        <f t="shared" ref="AF21:AF29" si="0">IFERROR(($B$11/(AI21+AK21)*AK21)/$B$11,0)</f>
        <v>0</v>
      </c>
      <c r="AG21" s="80">
        <f t="shared" ref="AG21:AG29" si="1">$J$8+$J$16</f>
        <v>0</v>
      </c>
      <c r="AH21" s="80">
        <f t="shared" ref="AH21:AH29" si="2">$V$16</f>
        <v>0</v>
      </c>
      <c r="AI21" s="80">
        <f t="shared" ref="AI21:AI29" si="3">AG21-AJ21</f>
        <v>0</v>
      </c>
      <c r="AJ21" s="80">
        <f t="shared" ref="AJ21:AJ29" si="4">AG21*AE21</f>
        <v>0</v>
      </c>
      <c r="AK21" s="81" t="e">
        <f t="shared" ref="AK21:AK29" si="5">(AJ21*AH21)/(AH21+AJ21)</f>
        <v>#DIV/0!</v>
      </c>
    </row>
    <row r="22" spans="3:37" x14ac:dyDescent="0.25">
      <c r="AE22" s="78">
        <v>0.3</v>
      </c>
      <c r="AF22" s="79">
        <f t="shared" si="0"/>
        <v>0</v>
      </c>
      <c r="AG22" s="80">
        <f t="shared" si="1"/>
        <v>0</v>
      </c>
      <c r="AH22" s="80">
        <f t="shared" si="2"/>
        <v>0</v>
      </c>
      <c r="AI22" s="80">
        <f t="shared" si="3"/>
        <v>0</v>
      </c>
      <c r="AJ22" s="80">
        <f t="shared" si="4"/>
        <v>0</v>
      </c>
      <c r="AK22" s="81" t="e">
        <f t="shared" si="5"/>
        <v>#DIV/0!</v>
      </c>
    </row>
    <row r="23" spans="3:37" x14ac:dyDescent="0.25">
      <c r="AE23" s="78">
        <v>0.4</v>
      </c>
      <c r="AF23" s="79">
        <f t="shared" si="0"/>
        <v>0</v>
      </c>
      <c r="AG23" s="80">
        <f t="shared" si="1"/>
        <v>0</v>
      </c>
      <c r="AH23" s="80">
        <f t="shared" si="2"/>
        <v>0</v>
      </c>
      <c r="AI23" s="80">
        <f t="shared" si="3"/>
        <v>0</v>
      </c>
      <c r="AJ23" s="80">
        <f t="shared" si="4"/>
        <v>0</v>
      </c>
      <c r="AK23" s="81" t="e">
        <f t="shared" si="5"/>
        <v>#DIV/0!</v>
      </c>
    </row>
    <row r="24" spans="3:37" x14ac:dyDescent="0.25">
      <c r="AE24" s="78">
        <v>0.5</v>
      </c>
      <c r="AF24" s="79">
        <f t="shared" si="0"/>
        <v>0</v>
      </c>
      <c r="AG24" s="80">
        <f t="shared" si="1"/>
        <v>0</v>
      </c>
      <c r="AH24" s="80">
        <f t="shared" si="2"/>
        <v>0</v>
      </c>
      <c r="AI24" s="80">
        <f t="shared" si="3"/>
        <v>0</v>
      </c>
      <c r="AJ24" s="80">
        <f t="shared" si="4"/>
        <v>0</v>
      </c>
      <c r="AK24" s="81" t="e">
        <f t="shared" si="5"/>
        <v>#DIV/0!</v>
      </c>
    </row>
    <row r="25" spans="3:37" x14ac:dyDescent="0.25">
      <c r="AE25" s="78">
        <v>0.6</v>
      </c>
      <c r="AF25" s="79">
        <f t="shared" si="0"/>
        <v>0</v>
      </c>
      <c r="AG25" s="80">
        <f t="shared" si="1"/>
        <v>0</v>
      </c>
      <c r="AH25" s="80">
        <f t="shared" si="2"/>
        <v>0</v>
      </c>
      <c r="AI25" s="80">
        <f t="shared" si="3"/>
        <v>0</v>
      </c>
      <c r="AJ25" s="80">
        <f t="shared" si="4"/>
        <v>0</v>
      </c>
      <c r="AK25" s="81" t="e">
        <f t="shared" si="5"/>
        <v>#DIV/0!</v>
      </c>
    </row>
    <row r="26" spans="3:37" x14ac:dyDescent="0.25">
      <c r="AE26" s="78">
        <v>0.7</v>
      </c>
      <c r="AF26" s="79">
        <f t="shared" si="0"/>
        <v>0</v>
      </c>
      <c r="AG26" s="80">
        <f t="shared" si="1"/>
        <v>0</v>
      </c>
      <c r="AH26" s="80">
        <f t="shared" si="2"/>
        <v>0</v>
      </c>
      <c r="AI26" s="80">
        <f t="shared" si="3"/>
        <v>0</v>
      </c>
      <c r="AJ26" s="80">
        <f t="shared" si="4"/>
        <v>0</v>
      </c>
      <c r="AK26" s="81" t="e">
        <f t="shared" si="5"/>
        <v>#DIV/0!</v>
      </c>
    </row>
    <row r="27" spans="3:37" x14ac:dyDescent="0.25">
      <c r="AE27" s="78">
        <v>0.8</v>
      </c>
      <c r="AF27" s="79">
        <f t="shared" si="0"/>
        <v>0</v>
      </c>
      <c r="AG27" s="80">
        <f t="shared" si="1"/>
        <v>0</v>
      </c>
      <c r="AH27" s="80">
        <f t="shared" si="2"/>
        <v>0</v>
      </c>
      <c r="AI27" s="80">
        <f t="shared" si="3"/>
        <v>0</v>
      </c>
      <c r="AJ27" s="80">
        <f t="shared" si="4"/>
        <v>0</v>
      </c>
      <c r="AK27" s="81" t="e">
        <f t="shared" si="5"/>
        <v>#DIV/0!</v>
      </c>
    </row>
    <row r="28" spans="3:37" x14ac:dyDescent="0.25">
      <c r="AE28" s="78">
        <v>0.9</v>
      </c>
      <c r="AF28" s="79">
        <f t="shared" si="0"/>
        <v>0</v>
      </c>
      <c r="AG28" s="80">
        <f t="shared" si="1"/>
        <v>0</v>
      </c>
      <c r="AH28" s="80">
        <f t="shared" si="2"/>
        <v>0</v>
      </c>
      <c r="AI28" s="80">
        <f t="shared" si="3"/>
        <v>0</v>
      </c>
      <c r="AJ28" s="80">
        <f t="shared" si="4"/>
        <v>0</v>
      </c>
      <c r="AK28" s="81" t="e">
        <f t="shared" si="5"/>
        <v>#DIV/0!</v>
      </c>
    </row>
    <row r="29" spans="3:37" x14ac:dyDescent="0.25">
      <c r="AE29" s="78">
        <v>1</v>
      </c>
      <c r="AF29" s="79">
        <f t="shared" si="0"/>
        <v>0</v>
      </c>
      <c r="AG29" s="80">
        <f t="shared" si="1"/>
        <v>0</v>
      </c>
      <c r="AH29" s="80">
        <f t="shared" si="2"/>
        <v>0</v>
      </c>
      <c r="AI29" s="80">
        <f t="shared" si="3"/>
        <v>0</v>
      </c>
      <c r="AJ29" s="80">
        <f t="shared" si="4"/>
        <v>0</v>
      </c>
      <c r="AK29" s="81" t="e">
        <f t="shared" si="5"/>
        <v>#DIV/0!</v>
      </c>
    </row>
    <row r="30" spans="3:37" x14ac:dyDescent="0.25">
      <c r="AE30" s="82" t="e">
        <f>1/(J8+J16)*J16</f>
        <v>#DIV/0!</v>
      </c>
      <c r="AF30" s="83" t="e">
        <f>M14/B11</f>
        <v>#DIV/0!</v>
      </c>
      <c r="AG30" s="84"/>
      <c r="AH30" s="84"/>
      <c r="AI30" s="84"/>
      <c r="AJ30" s="84"/>
      <c r="AK30" s="84"/>
    </row>
    <row r="31" spans="3:37" x14ac:dyDescent="0.25">
      <c r="AE31" s="84"/>
      <c r="AF31" s="84"/>
      <c r="AG31" s="84"/>
      <c r="AH31" s="84"/>
      <c r="AI31" s="84"/>
      <c r="AJ31" s="84"/>
      <c r="AK31" s="84"/>
    </row>
  </sheetData>
  <mergeCells count="6">
    <mergeCell ref="M14:P14"/>
    <mergeCell ref="G6:G9"/>
    <mergeCell ref="H6:H9"/>
    <mergeCell ref="G14:G17"/>
    <mergeCell ref="H14:H17"/>
    <mergeCell ref="M13:P13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ScrollBar3">
          <controlPr defaultSize="0" autoLine="0" linkedCell="V16" r:id="rId5">
            <anchor moveWithCells="1">
              <from>
                <xdr:col>21</xdr:col>
                <xdr:colOff>0</xdr:colOff>
                <xdr:row>16</xdr:row>
                <xdr:rowOff>0</xdr:rowOff>
              </from>
              <to>
                <xdr:col>22</xdr:col>
                <xdr:colOff>38100</xdr:colOff>
                <xdr:row>16</xdr:row>
                <xdr:rowOff>180975</xdr:rowOff>
              </to>
            </anchor>
          </controlPr>
        </control>
      </mc:Choice>
      <mc:Fallback>
        <control shapeId="4101" r:id="rId4" name="ScrollBar3"/>
      </mc:Fallback>
    </mc:AlternateContent>
    <mc:AlternateContent xmlns:mc="http://schemas.openxmlformats.org/markup-compatibility/2006">
      <mc:Choice Requires="x14">
        <control shapeId="4100" r:id="rId6" name="ScrollBar2">
          <controlPr defaultSize="0" autoLine="0" linkedCell="J8" r:id="rId7">
            <anchor moveWithCells="1">
              <from>
                <xdr:col>9</xdr:col>
                <xdr:colOff>0</xdr:colOff>
                <xdr:row>8</xdr:row>
                <xdr:rowOff>0</xdr:rowOff>
              </from>
              <to>
                <xdr:col>10</xdr:col>
                <xdr:colOff>38100</xdr:colOff>
                <xdr:row>9</xdr:row>
                <xdr:rowOff>9525</xdr:rowOff>
              </to>
            </anchor>
          </controlPr>
        </control>
      </mc:Choice>
      <mc:Fallback>
        <control shapeId="4100" r:id="rId6" name="ScrollBar2"/>
      </mc:Fallback>
    </mc:AlternateContent>
    <mc:AlternateContent xmlns:mc="http://schemas.openxmlformats.org/markup-compatibility/2006">
      <mc:Choice Requires="x14">
        <control shapeId="4099" r:id="rId8" name="ScrollBar1">
          <controlPr defaultSize="0" autoLine="0" linkedCell="J16" r:id="rId9">
            <anchor moveWithCells="1">
              <from>
                <xdr:col>9</xdr:col>
                <xdr:colOff>0</xdr:colOff>
                <xdr:row>16</xdr:row>
                <xdr:rowOff>0</xdr:rowOff>
              </from>
              <to>
                <xdr:col>10</xdr:col>
                <xdr:colOff>19050</xdr:colOff>
                <xdr:row>16</xdr:row>
                <xdr:rowOff>171450</xdr:rowOff>
              </to>
            </anchor>
          </controlPr>
        </control>
      </mc:Choice>
      <mc:Fallback>
        <control shapeId="4099" r:id="rId8" name="ScrollBar1"/>
      </mc:Fallback>
    </mc:AlternateContent>
    <mc:AlternateContent xmlns:mc="http://schemas.openxmlformats.org/markup-compatibility/2006">
      <mc:Choice Requires="x14">
        <control shapeId="4098" r:id="rId10" name="Spinner 2">
          <controlPr defaultSize="0" autoPict="0">
            <anchor moveWithCells="1" sizeWithCells="1">
              <from>
                <xdr:col>1</xdr:col>
                <xdr:colOff>0</xdr:colOff>
                <xdr:row>11</xdr:row>
                <xdr:rowOff>0</xdr:rowOff>
              </from>
              <to>
                <xdr:col>2</xdr:col>
                <xdr:colOff>9525</xdr:colOff>
                <xdr:row>13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2" r:id="rId11" name="Button 6">
          <controlPr defaultSize="0" print="0" autoFill="0" autoPict="0" macro="[0]!alles_löschen_S_4">
            <anchor moveWithCells="1" sizeWithCells="1">
              <from>
                <xdr:col>11</xdr:col>
                <xdr:colOff>9525</xdr:colOff>
                <xdr:row>1</xdr:row>
                <xdr:rowOff>161925</xdr:rowOff>
              </from>
              <to>
                <xdr:col>19</xdr:col>
                <xdr:colOff>123825</xdr:colOff>
                <xdr:row>4</xdr:row>
                <xdr:rowOff>161925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7C9C0-A55F-4B5C-8DC2-955F26548939}">
  <sheetPr codeName="Tabelle6"/>
  <dimension ref="B2:T22"/>
  <sheetViews>
    <sheetView showGridLines="0" zoomScale="101" zoomScaleNormal="150" workbookViewId="0">
      <selection activeCell="E24" sqref="E23:E24"/>
    </sheetView>
  </sheetViews>
  <sheetFormatPr baseColWidth="10" defaultColWidth="11.42578125" defaultRowHeight="15" x14ac:dyDescent="0.25"/>
  <cols>
    <col min="2" max="2" width="12.85546875" customWidth="1"/>
    <col min="3" max="3" width="2.28515625" customWidth="1"/>
    <col min="4" max="5" width="10.5703125" customWidth="1"/>
    <col min="6" max="6" width="2.5703125" customWidth="1"/>
    <col min="7" max="8" width="1.85546875" customWidth="1"/>
    <col min="9" max="9" width="1.7109375" customWidth="1"/>
    <col min="10" max="10" width="10.5703125" customWidth="1"/>
    <col min="11" max="11" width="3.42578125" customWidth="1"/>
    <col min="12" max="12" width="5.140625" customWidth="1"/>
    <col min="13" max="13" width="1.85546875" customWidth="1"/>
    <col min="14" max="14" width="3.140625" customWidth="1"/>
    <col min="15" max="18" width="1.85546875" customWidth="1"/>
    <col min="19" max="19" width="2.42578125" customWidth="1"/>
  </cols>
  <sheetData>
    <row r="2" spans="2:20" x14ac:dyDescent="0.25">
      <c r="D2" s="5"/>
      <c r="E2" s="11">
        <f>IFERROR(B11/((E10-J14)+(J14*T16)/(J14+T16)),0)</f>
        <v>1.7142857142857142</v>
      </c>
    </row>
    <row r="3" spans="2:20" ht="15.75" thickBot="1" x14ac:dyDescent="0.3">
      <c r="D3" s="2"/>
      <c r="E3" s="2"/>
      <c r="F3" s="2"/>
      <c r="G3" s="2"/>
    </row>
    <row r="4" spans="2:20" ht="15.75" thickTop="1" x14ac:dyDescent="0.25">
      <c r="G4" s="15"/>
      <c r="T4" s="38"/>
    </row>
    <row r="5" spans="2:20" x14ac:dyDescent="0.25">
      <c r="C5" s="6"/>
      <c r="H5" s="1"/>
    </row>
    <row r="6" spans="2:20" x14ac:dyDescent="0.25">
      <c r="C6" s="6"/>
      <c r="G6" s="96"/>
      <c r="H6" s="95"/>
    </row>
    <row r="7" spans="2:20" x14ac:dyDescent="0.25">
      <c r="C7" s="6"/>
      <c r="E7" s="25"/>
      <c r="G7" s="96"/>
      <c r="H7" s="95"/>
    </row>
    <row r="8" spans="2:20" x14ac:dyDescent="0.25">
      <c r="C8" s="6"/>
      <c r="G8" s="96"/>
      <c r="H8" s="95"/>
      <c r="K8" s="13"/>
    </row>
    <row r="9" spans="2:20" ht="15.6" customHeight="1" thickBot="1" x14ac:dyDescent="0.4">
      <c r="C9" s="6"/>
      <c r="G9" s="97"/>
      <c r="H9" s="95"/>
      <c r="J9" s="26">
        <f>E10-J14</f>
        <v>50</v>
      </c>
      <c r="L9" s="9"/>
    </row>
    <row r="10" spans="2:20" ht="18.75" thickTop="1" x14ac:dyDescent="0.35">
      <c r="C10" s="6"/>
      <c r="E10" s="36">
        <v>100</v>
      </c>
      <c r="G10" s="22"/>
      <c r="H10" s="15"/>
      <c r="L10" s="9"/>
      <c r="N10" s="7"/>
    </row>
    <row r="11" spans="2:20" ht="15.75" thickBot="1" x14ac:dyDescent="0.3">
      <c r="B11" s="20">
        <v>100</v>
      </c>
      <c r="C11" s="6"/>
      <c r="G11" s="1"/>
      <c r="H11" s="23"/>
      <c r="J11" s="2"/>
      <c r="K11" s="2"/>
      <c r="L11" s="2"/>
    </row>
    <row r="12" spans="2:20" ht="15.75" thickTop="1" x14ac:dyDescent="0.25">
      <c r="C12" s="10"/>
      <c r="G12" s="1"/>
      <c r="I12" s="1"/>
      <c r="M12" s="21"/>
      <c r="N12" s="21"/>
      <c r="O12" s="21"/>
      <c r="P12" s="21"/>
      <c r="Q12" s="15"/>
    </row>
    <row r="13" spans="2:20" ht="15.75" thickBot="1" x14ac:dyDescent="0.3">
      <c r="C13" s="6"/>
      <c r="G13" s="3"/>
      <c r="H13" s="4"/>
      <c r="J13" s="30">
        <v>75</v>
      </c>
      <c r="Q13" s="23"/>
    </row>
    <row r="14" spans="2:20" ht="15.75" thickTop="1" x14ac:dyDescent="0.25">
      <c r="C14" s="6"/>
      <c r="G14" s="98"/>
      <c r="H14" s="95"/>
      <c r="J14" s="27">
        <v>50</v>
      </c>
      <c r="L14" s="99">
        <f>IFERROR(B11-J9*E2,0)</f>
        <v>14.285714285714292</v>
      </c>
      <c r="M14" s="99"/>
      <c r="N14" s="99"/>
      <c r="O14" s="6"/>
      <c r="Q14" s="22"/>
      <c r="R14" s="15"/>
      <c r="T14" s="7"/>
    </row>
    <row r="15" spans="2:20" x14ac:dyDescent="0.25">
      <c r="C15" s="6"/>
      <c r="G15" s="96"/>
      <c r="H15" s="95"/>
      <c r="O15" s="6"/>
      <c r="Q15" s="1"/>
      <c r="R15" s="23"/>
    </row>
    <row r="16" spans="2:20" x14ac:dyDescent="0.25">
      <c r="C16" s="6"/>
      <c r="E16" s="13"/>
      <c r="G16" s="96"/>
      <c r="H16" s="95"/>
      <c r="K16" s="13"/>
      <c r="O16" s="6"/>
      <c r="Q16" s="1"/>
      <c r="R16" s="23"/>
      <c r="T16" s="37">
        <v>10</v>
      </c>
    </row>
    <row r="17" spans="3:18" ht="15.75" thickBot="1" x14ac:dyDescent="0.3">
      <c r="C17" s="6"/>
      <c r="G17" s="96"/>
      <c r="H17" s="95"/>
      <c r="O17" s="6"/>
      <c r="Q17" s="3"/>
      <c r="R17" s="4"/>
    </row>
    <row r="18" spans="3:18" ht="15.75" thickTop="1" x14ac:dyDescent="0.25">
      <c r="C18" s="6"/>
      <c r="G18" s="23"/>
      <c r="Q18" s="15"/>
    </row>
    <row r="19" spans="3:18" ht="15.75" thickBot="1" x14ac:dyDescent="0.3">
      <c r="D19" s="2"/>
      <c r="E19" s="2"/>
      <c r="F19" s="2"/>
      <c r="G19" s="4"/>
      <c r="H19" s="3"/>
      <c r="I19" s="2"/>
      <c r="J19" s="2"/>
      <c r="K19" s="2"/>
      <c r="L19" s="2"/>
      <c r="M19" s="2"/>
      <c r="N19" s="2"/>
      <c r="O19" s="2"/>
      <c r="P19" s="2"/>
      <c r="Q19" s="4"/>
    </row>
    <row r="20" spans="3:18" ht="15.75" thickTop="1" x14ac:dyDescent="0.25"/>
    <row r="22" spans="3:18" x14ac:dyDescent="0.25">
      <c r="D22" s="24"/>
    </row>
  </sheetData>
  <mergeCells count="5">
    <mergeCell ref="G6:G9"/>
    <mergeCell ref="H6:H9"/>
    <mergeCell ref="G14:G17"/>
    <mergeCell ref="H14:H17"/>
    <mergeCell ref="L14:N14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9" r:id="rId4" name="ScrollBar2">
          <controlPr defaultSize="0" autoLine="0" linkedCell="E10" r:id="rId5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5</xdr:col>
                <xdr:colOff>47625</xdr:colOff>
                <xdr:row>10</xdr:row>
                <xdr:rowOff>190500</xdr:rowOff>
              </to>
            </anchor>
          </controlPr>
        </control>
      </mc:Choice>
      <mc:Fallback>
        <control shapeId="5129" r:id="rId4" name="ScrollBar2"/>
      </mc:Fallback>
    </mc:AlternateContent>
    <mc:AlternateContent xmlns:mc="http://schemas.openxmlformats.org/markup-compatibility/2006">
      <mc:Choice Requires="x14">
        <control shapeId="5127" r:id="rId6" name="ScrollBar1">
          <controlPr defaultSize="0" autoLine="0" linkedCell="T16" r:id="rId7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0</xdr:colOff>
                <xdr:row>16</xdr:row>
                <xdr:rowOff>190500</xdr:rowOff>
              </to>
            </anchor>
          </controlPr>
        </control>
      </mc:Choice>
      <mc:Fallback>
        <control shapeId="5127" r:id="rId6" name="ScrollBar1"/>
      </mc:Fallback>
    </mc:AlternateContent>
    <mc:AlternateContent xmlns:mc="http://schemas.openxmlformats.org/markup-compatibility/2006">
      <mc:Choice Requires="x14">
        <control shapeId="5122" r:id="rId8" name="Spinner 2">
          <controlPr defaultSize="0" autoPict="0">
            <anchor moveWithCells="1" sizeWithCells="1">
              <from>
                <xdr:col>1</xdr:col>
                <xdr:colOff>0</xdr:colOff>
                <xdr:row>11</xdr:row>
                <xdr:rowOff>0</xdr:rowOff>
              </from>
              <to>
                <xdr:col>2</xdr:col>
                <xdr:colOff>9525</xdr:colOff>
                <xdr:row>13</xdr:row>
                <xdr:rowOff>28575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189A6-8F01-4637-A50C-1EA91BB0E67F}">
  <sheetPr codeName="Tabelle7"/>
  <dimension ref="B2:AD22"/>
  <sheetViews>
    <sheetView showGridLines="0" tabSelected="1" zoomScale="115" zoomScaleNormal="115" workbookViewId="0">
      <selection activeCell="B14" sqref="B14"/>
    </sheetView>
  </sheetViews>
  <sheetFormatPr baseColWidth="10" defaultColWidth="11.42578125" defaultRowHeight="15" x14ac:dyDescent="0.25"/>
  <cols>
    <col min="2" max="2" width="12.85546875" customWidth="1"/>
    <col min="3" max="3" width="2.28515625" customWidth="1"/>
    <col min="4" max="5" width="10.5703125" customWidth="1"/>
    <col min="6" max="6" width="2.5703125" customWidth="1"/>
    <col min="7" max="8" width="1.85546875" customWidth="1"/>
    <col min="9" max="9" width="1.7109375" customWidth="1"/>
    <col min="10" max="10" width="10.5703125" customWidth="1"/>
    <col min="11" max="11" width="3.42578125" customWidth="1"/>
    <col min="12" max="12" width="5.140625" customWidth="1"/>
    <col min="13" max="13" width="1.85546875" customWidth="1"/>
    <col min="14" max="14" width="3.140625" customWidth="1"/>
    <col min="15" max="15" width="4.140625" customWidth="1"/>
    <col min="16" max="18" width="1.85546875" customWidth="1"/>
    <col min="19" max="19" width="2.42578125" customWidth="1"/>
    <col min="20" max="20" width="11.42578125" customWidth="1"/>
    <col min="21" max="21" width="11.140625" bestFit="1" customWidth="1"/>
    <col min="22" max="22" width="13.5703125" customWidth="1"/>
    <col min="24" max="28" width="8.85546875" customWidth="1"/>
  </cols>
  <sheetData>
    <row r="2" spans="2:30" ht="15.75" thickBot="1" x14ac:dyDescent="0.3">
      <c r="D2" s="5"/>
      <c r="E2" s="48">
        <f>IFERROR(B11/((E10-J13)+(J13*T16)/(J13+T16)),0)</f>
        <v>0</v>
      </c>
    </row>
    <row r="3" spans="2:30" ht="16.5" thickTop="1" thickBot="1" x14ac:dyDescent="0.3">
      <c r="D3" s="2"/>
      <c r="E3" s="2"/>
      <c r="F3" s="2"/>
      <c r="G3" s="2"/>
      <c r="V3" s="41" t="s">
        <v>0</v>
      </c>
      <c r="X3" s="35" t="s">
        <v>1</v>
      </c>
      <c r="Y3" s="35" t="s">
        <v>2</v>
      </c>
      <c r="Z3" s="35" t="s">
        <v>3</v>
      </c>
      <c r="AA3" s="35" t="s">
        <v>4</v>
      </c>
      <c r="AB3" s="35" t="s">
        <v>5</v>
      </c>
      <c r="AC3" s="35" t="s">
        <v>6</v>
      </c>
      <c r="AD3" s="35" t="s">
        <v>7</v>
      </c>
    </row>
    <row r="4" spans="2:30" ht="15.75" thickTop="1" x14ac:dyDescent="0.25">
      <c r="G4" s="15"/>
      <c r="V4" s="55">
        <f>E2</f>
        <v>0</v>
      </c>
      <c r="X4" s="32">
        <v>0</v>
      </c>
      <c r="Y4" s="33">
        <f>IFERROR(($B$11/(AB4+AD4)*AD4)/$B$11,0)</f>
        <v>0</v>
      </c>
      <c r="Z4" s="34">
        <f t="shared" ref="Z4:Z14" si="0">$E$10</f>
        <v>378</v>
      </c>
      <c r="AA4" s="34">
        <f>$T$16</f>
        <v>0</v>
      </c>
      <c r="AB4" s="34">
        <f>Z4-AC4</f>
        <v>378</v>
      </c>
      <c r="AC4" s="34">
        <f>Z4/100*X4</f>
        <v>0</v>
      </c>
      <c r="AD4" s="87">
        <f>IFERROR((AA4*AC4/(AA4+AC4)),0)</f>
        <v>0</v>
      </c>
    </row>
    <row r="5" spans="2:30" x14ac:dyDescent="0.25">
      <c r="C5" s="6"/>
      <c r="H5" s="1"/>
      <c r="V5" s="42">
        <f>B11</f>
        <v>0</v>
      </c>
      <c r="X5" s="32">
        <v>10</v>
      </c>
      <c r="Y5" s="33">
        <f t="shared" ref="Y5:Y6" si="1">IFERROR(($B$11/(AB5+AD5)*AD5)/$B$11,0)</f>
        <v>0</v>
      </c>
      <c r="Z5" s="34">
        <f t="shared" si="0"/>
        <v>378</v>
      </c>
      <c r="AA5" s="34">
        <f t="shared" ref="AA5:AA14" si="2">$T$16</f>
        <v>0</v>
      </c>
      <c r="AB5" s="34">
        <f t="shared" ref="AB5:AB6" si="3">Z5-AC5</f>
        <v>340.2</v>
      </c>
      <c r="AC5" s="34">
        <f t="shared" ref="AC5:AC6" si="4">Z5/100*X5</f>
        <v>37.799999999999997</v>
      </c>
      <c r="AD5" s="87">
        <f t="shared" ref="AD5:AD6" si="5">IFERROR((AA5*AC5/(AA5+AC5)),0)</f>
        <v>0</v>
      </c>
    </row>
    <row r="6" spans="2:30" x14ac:dyDescent="0.25">
      <c r="C6" s="6"/>
      <c r="G6" s="96"/>
      <c r="H6" s="95"/>
      <c r="L6" s="103"/>
      <c r="M6" s="103"/>
      <c r="N6" s="103"/>
      <c r="O6" s="103"/>
      <c r="V6" s="43">
        <f>L14</f>
        <v>0</v>
      </c>
      <c r="X6" s="32">
        <v>20</v>
      </c>
      <c r="Y6" s="33">
        <f t="shared" si="1"/>
        <v>0</v>
      </c>
      <c r="Z6" s="34">
        <f t="shared" si="0"/>
        <v>378</v>
      </c>
      <c r="AA6" s="34">
        <f t="shared" si="2"/>
        <v>0</v>
      </c>
      <c r="AB6" s="34">
        <f t="shared" si="3"/>
        <v>302.39999999999998</v>
      </c>
      <c r="AC6" s="34">
        <f t="shared" si="4"/>
        <v>75.599999999999994</v>
      </c>
      <c r="AD6" s="87">
        <f t="shared" si="5"/>
        <v>0</v>
      </c>
    </row>
    <row r="7" spans="2:30" x14ac:dyDescent="0.25">
      <c r="C7" s="6"/>
      <c r="E7" s="25"/>
      <c r="G7" s="96"/>
      <c r="H7" s="95"/>
      <c r="V7" s="56">
        <f>E10</f>
        <v>378</v>
      </c>
      <c r="X7" s="32">
        <v>30</v>
      </c>
      <c r="Y7" s="33">
        <f t="shared" ref="Y7:Y14" si="6">IFERROR(($B$11/(AB7+AD7)*AD7)/$B$11,0)</f>
        <v>0</v>
      </c>
      <c r="Z7" s="34">
        <f t="shared" si="0"/>
        <v>378</v>
      </c>
      <c r="AA7" s="34">
        <f t="shared" si="2"/>
        <v>0</v>
      </c>
      <c r="AB7" s="34">
        <f t="shared" ref="AB7:AB14" si="7">Z7-AC7</f>
        <v>264.60000000000002</v>
      </c>
      <c r="AC7" s="34">
        <f t="shared" ref="AC7:AC14" si="8">Z7/100*X7</f>
        <v>113.39999999999999</v>
      </c>
      <c r="AD7" s="87">
        <f t="shared" ref="AD7:AD14" si="9">IFERROR((AA7*AC7/(AA7+AC7)),0)</f>
        <v>0</v>
      </c>
    </row>
    <row r="8" spans="2:30" x14ac:dyDescent="0.25">
      <c r="C8" s="6"/>
      <c r="G8" s="96"/>
      <c r="H8" s="95"/>
      <c r="K8" s="13"/>
      <c r="L8" s="104"/>
      <c r="M8" s="104"/>
      <c r="N8" s="104"/>
      <c r="O8" s="104"/>
      <c r="T8" s="7"/>
      <c r="V8" s="44">
        <f>J10</f>
        <v>378</v>
      </c>
      <c r="X8" s="32">
        <v>40</v>
      </c>
      <c r="Y8" s="33">
        <f t="shared" si="6"/>
        <v>0</v>
      </c>
      <c r="Z8" s="34">
        <f t="shared" si="0"/>
        <v>378</v>
      </c>
      <c r="AA8" s="34">
        <f t="shared" si="2"/>
        <v>0</v>
      </c>
      <c r="AB8" s="34">
        <f t="shared" si="7"/>
        <v>226.8</v>
      </c>
      <c r="AC8" s="34">
        <f t="shared" si="8"/>
        <v>151.19999999999999</v>
      </c>
      <c r="AD8" s="87">
        <f t="shared" si="9"/>
        <v>0</v>
      </c>
    </row>
    <row r="9" spans="2:30" ht="15.6" customHeight="1" thickBot="1" x14ac:dyDescent="0.4">
      <c r="C9" s="6"/>
      <c r="G9" s="97"/>
      <c r="H9" s="95"/>
      <c r="L9" s="9"/>
      <c r="T9" s="31"/>
      <c r="V9" s="45">
        <f>J13</f>
        <v>0</v>
      </c>
      <c r="X9" s="32">
        <v>50</v>
      </c>
      <c r="Y9" s="33">
        <f t="shared" si="6"/>
        <v>0</v>
      </c>
      <c r="Z9" s="34">
        <f t="shared" si="0"/>
        <v>378</v>
      </c>
      <c r="AA9" s="34">
        <f t="shared" si="2"/>
        <v>0</v>
      </c>
      <c r="AB9" s="34">
        <f t="shared" si="7"/>
        <v>189</v>
      </c>
      <c r="AC9" s="34">
        <f t="shared" si="8"/>
        <v>189</v>
      </c>
      <c r="AD9" s="87">
        <f t="shared" si="9"/>
        <v>0</v>
      </c>
    </row>
    <row r="10" spans="2:30" ht="18.75" thickTop="1" x14ac:dyDescent="0.35">
      <c r="C10" s="6"/>
      <c r="E10" s="74">
        <v>378</v>
      </c>
      <c r="G10" s="22"/>
      <c r="H10" s="15"/>
      <c r="J10" s="39">
        <f>E10-J13</f>
        <v>378</v>
      </c>
      <c r="L10" s="9"/>
      <c r="N10" s="7"/>
      <c r="V10" s="46">
        <f>T16</f>
        <v>0</v>
      </c>
      <c r="X10" s="32">
        <v>60</v>
      </c>
      <c r="Y10" s="33">
        <f t="shared" si="6"/>
        <v>0</v>
      </c>
      <c r="Z10" s="34">
        <f t="shared" si="0"/>
        <v>378</v>
      </c>
      <c r="AA10" s="34">
        <f t="shared" si="2"/>
        <v>0</v>
      </c>
      <c r="AB10" s="34">
        <f t="shared" si="7"/>
        <v>151.20000000000002</v>
      </c>
      <c r="AC10" s="34">
        <f t="shared" si="8"/>
        <v>226.79999999999998</v>
      </c>
      <c r="AD10" s="87">
        <f t="shared" si="9"/>
        <v>0</v>
      </c>
    </row>
    <row r="11" spans="2:30" ht="15.75" thickBot="1" x14ac:dyDescent="0.3">
      <c r="B11" s="68">
        <v>0</v>
      </c>
      <c r="C11" s="6"/>
      <c r="G11" s="1"/>
      <c r="H11" s="23"/>
      <c r="J11" s="2"/>
      <c r="K11" s="2"/>
      <c r="L11" s="2"/>
      <c r="V11" s="85">
        <f>IFERROR((T16*J13)/(J13+T16),0)</f>
        <v>0</v>
      </c>
      <c r="X11" s="32">
        <v>70</v>
      </c>
      <c r="Y11" s="33">
        <f t="shared" si="6"/>
        <v>0</v>
      </c>
      <c r="Z11" s="34">
        <f t="shared" si="0"/>
        <v>378</v>
      </c>
      <c r="AA11" s="34">
        <f t="shared" si="2"/>
        <v>0</v>
      </c>
      <c r="AB11" s="34">
        <f t="shared" si="7"/>
        <v>113.40000000000003</v>
      </c>
      <c r="AC11" s="34">
        <f t="shared" si="8"/>
        <v>264.59999999999997</v>
      </c>
      <c r="AD11" s="87">
        <f t="shared" si="9"/>
        <v>0</v>
      </c>
    </row>
    <row r="12" spans="2:30" ht="15.75" thickTop="1" x14ac:dyDescent="0.25">
      <c r="C12" s="10"/>
      <c r="G12" s="1"/>
      <c r="I12" s="1"/>
      <c r="M12" s="21"/>
      <c r="N12" s="21"/>
      <c r="O12" s="21"/>
      <c r="P12" s="21"/>
      <c r="Q12" s="15"/>
      <c r="V12" s="86">
        <f>IFERROR(V11+J10,0)</f>
        <v>378</v>
      </c>
      <c r="X12" s="32">
        <v>80</v>
      </c>
      <c r="Y12" s="33">
        <f t="shared" si="6"/>
        <v>0</v>
      </c>
      <c r="Z12" s="34">
        <f t="shared" si="0"/>
        <v>378</v>
      </c>
      <c r="AA12" s="34">
        <f t="shared" si="2"/>
        <v>0</v>
      </c>
      <c r="AB12" s="34">
        <f t="shared" si="7"/>
        <v>75.600000000000023</v>
      </c>
      <c r="AC12" s="34">
        <f t="shared" si="8"/>
        <v>302.39999999999998</v>
      </c>
      <c r="AD12" s="87">
        <f t="shared" si="9"/>
        <v>0</v>
      </c>
    </row>
    <row r="13" spans="2:30" ht="15.75" thickBot="1" x14ac:dyDescent="0.3">
      <c r="C13" s="6"/>
      <c r="E13" s="75">
        <v>0</v>
      </c>
      <c r="G13" s="3"/>
      <c r="H13" s="4"/>
      <c r="J13" s="40">
        <f>E10/100*E13</f>
        <v>0</v>
      </c>
      <c r="Q13" s="23"/>
      <c r="V13" s="57">
        <f>E13</f>
        <v>0</v>
      </c>
      <c r="X13" s="32">
        <v>90</v>
      </c>
      <c r="Y13" s="33">
        <f t="shared" si="6"/>
        <v>0</v>
      </c>
      <c r="Z13" s="34">
        <f t="shared" si="0"/>
        <v>378</v>
      </c>
      <c r="AA13" s="34">
        <f t="shared" si="2"/>
        <v>0</v>
      </c>
      <c r="AB13" s="34">
        <f t="shared" si="7"/>
        <v>37.800000000000011</v>
      </c>
      <c r="AC13" s="34">
        <f t="shared" si="8"/>
        <v>340.2</v>
      </c>
      <c r="AD13" s="87">
        <f t="shared" si="9"/>
        <v>0</v>
      </c>
    </row>
    <row r="14" spans="2:30" ht="15.75" thickTop="1" x14ac:dyDescent="0.25">
      <c r="C14" s="6"/>
      <c r="G14" s="98"/>
      <c r="H14" s="95"/>
      <c r="L14" s="100">
        <f>IFERROR(B11-J10*E2,0)</f>
        <v>0</v>
      </c>
      <c r="M14" s="101"/>
      <c r="N14" s="102"/>
      <c r="O14" s="6"/>
      <c r="Q14" s="22"/>
      <c r="R14" s="15"/>
      <c r="T14" s="7"/>
      <c r="V14" s="58">
        <f>IFERROR(L14/B11,0)</f>
        <v>0</v>
      </c>
      <c r="X14" s="32">
        <v>100</v>
      </c>
      <c r="Y14" s="33">
        <f t="shared" si="6"/>
        <v>0</v>
      </c>
      <c r="Z14" s="34">
        <f t="shared" si="0"/>
        <v>378</v>
      </c>
      <c r="AA14" s="34">
        <f t="shared" si="2"/>
        <v>0</v>
      </c>
      <c r="AB14" s="34">
        <f t="shared" si="7"/>
        <v>0</v>
      </c>
      <c r="AC14" s="34">
        <f t="shared" si="8"/>
        <v>378</v>
      </c>
      <c r="AD14" s="87">
        <f t="shared" si="9"/>
        <v>0</v>
      </c>
    </row>
    <row r="15" spans="2:30" x14ac:dyDescent="0.25">
      <c r="C15" s="6"/>
      <c r="G15" s="96"/>
      <c r="H15" s="95"/>
      <c r="O15" s="6"/>
      <c r="Q15" s="1"/>
      <c r="R15" s="23"/>
    </row>
    <row r="16" spans="2:30" x14ac:dyDescent="0.25">
      <c r="C16" s="6"/>
      <c r="E16" s="13"/>
      <c r="G16" s="96"/>
      <c r="H16" s="95"/>
      <c r="K16" s="13"/>
      <c r="O16" s="6"/>
      <c r="Q16" s="1"/>
      <c r="R16" s="23"/>
      <c r="T16" s="76">
        <v>0</v>
      </c>
    </row>
    <row r="17" spans="3:18" ht="15.75" thickBot="1" x14ac:dyDescent="0.3">
      <c r="C17" s="6"/>
      <c r="G17" s="96"/>
      <c r="H17" s="95"/>
      <c r="O17" s="6"/>
      <c r="Q17" s="3"/>
      <c r="R17" s="4"/>
    </row>
    <row r="18" spans="3:18" ht="15.75" thickTop="1" x14ac:dyDescent="0.25">
      <c r="C18" s="6"/>
      <c r="G18" s="23"/>
      <c r="Q18" s="15"/>
    </row>
    <row r="19" spans="3:18" ht="15.75" thickBot="1" x14ac:dyDescent="0.3">
      <c r="D19" s="2"/>
      <c r="E19" s="2"/>
      <c r="F19" s="2"/>
      <c r="G19" s="4"/>
      <c r="H19" s="3"/>
      <c r="I19" s="2"/>
      <c r="J19" s="2"/>
      <c r="K19" s="2"/>
      <c r="L19" s="2"/>
      <c r="M19" s="2"/>
      <c r="N19" s="2"/>
      <c r="O19" s="2"/>
      <c r="P19" s="2"/>
      <c r="Q19" s="4"/>
    </row>
    <row r="20" spans="3:18" ht="15.75" thickTop="1" x14ac:dyDescent="0.25"/>
    <row r="22" spans="3:18" x14ac:dyDescent="0.25">
      <c r="D22" s="24"/>
    </row>
  </sheetData>
  <mergeCells count="7">
    <mergeCell ref="G6:G9"/>
    <mergeCell ref="H6:H9"/>
    <mergeCell ref="G14:G17"/>
    <mergeCell ref="H14:H17"/>
    <mergeCell ref="L14:N14"/>
    <mergeCell ref="L6:O6"/>
    <mergeCell ref="L8:O8"/>
  </mergeCells>
  <dataValidations count="1">
    <dataValidation type="decimal" allowBlank="1" showInputMessage="1" showErrorMessage="1" sqref="E13" xr:uid="{15BFBCA3-5A60-4EBC-8005-3B9BCC9B3A14}">
      <formula1>1</formula1>
      <formula2>100</formula2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ScrollBar3">
          <controlPr defaultSize="0" autoLine="0" autoPict="0" linkedCell="E13" r:id="rId5">
            <anchor moveWithCells="1">
              <from>
                <xdr:col>3</xdr:col>
                <xdr:colOff>752475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9525</xdr:rowOff>
              </to>
            </anchor>
          </controlPr>
        </control>
      </mc:Choice>
      <mc:Fallback>
        <control shapeId="6148" r:id="rId4" name="ScrollBar3"/>
      </mc:Fallback>
    </mc:AlternateContent>
    <mc:AlternateContent xmlns:mc="http://schemas.openxmlformats.org/markup-compatibility/2006">
      <mc:Choice Requires="x14">
        <control shapeId="6147" r:id="rId6" name="ScrollBar2">
          <controlPr defaultSize="0" autoLine="0" autoPict="0" linkedCell="E10" r:id="rId7">
            <anchor moveWithCells="1">
              <from>
                <xdr:col>4</xdr:col>
                <xdr:colOff>9525</xdr:colOff>
                <xdr:row>10</xdr:row>
                <xdr:rowOff>28575</xdr:rowOff>
              </from>
              <to>
                <xdr:col>5</xdr:col>
                <xdr:colOff>9525</xdr:colOff>
                <xdr:row>11</xdr:row>
                <xdr:rowOff>28575</xdr:rowOff>
              </to>
            </anchor>
          </controlPr>
        </control>
      </mc:Choice>
      <mc:Fallback>
        <control shapeId="6147" r:id="rId6" name="ScrollBar2"/>
      </mc:Fallback>
    </mc:AlternateContent>
    <mc:AlternateContent xmlns:mc="http://schemas.openxmlformats.org/markup-compatibility/2006">
      <mc:Choice Requires="x14">
        <control shapeId="6146" r:id="rId8" name="ScrollBar1">
          <controlPr defaultSize="0" autoLine="0" autoPict="0" linkedCell="T16" r:id="rId9">
            <anchor moveWithCells="1">
              <from>
                <xdr:col>18</xdr:col>
                <xdr:colOff>161925</xdr:colOff>
                <xdr:row>16</xdr:row>
                <xdr:rowOff>47625</xdr:rowOff>
              </from>
              <to>
                <xdr:col>20</xdr:col>
                <xdr:colOff>9525</xdr:colOff>
                <xdr:row>17</xdr:row>
                <xdr:rowOff>76200</xdr:rowOff>
              </to>
            </anchor>
          </controlPr>
        </control>
      </mc:Choice>
      <mc:Fallback>
        <control shapeId="6146" r:id="rId8" name="ScrollBar1"/>
      </mc:Fallback>
    </mc:AlternateContent>
    <mc:AlternateContent xmlns:mc="http://schemas.openxmlformats.org/markup-compatibility/2006">
      <mc:Choice Requires="x14">
        <control shapeId="6145" r:id="rId10" name="Spinner 1">
          <controlPr defaultSize="0" autoPict="0">
            <anchor moveWithCells="1" sizeWithCells="1">
              <from>
                <xdr:col>0</xdr:col>
                <xdr:colOff>752475</xdr:colOff>
                <xdr:row>11</xdr:row>
                <xdr:rowOff>9525</xdr:rowOff>
              </from>
              <to>
                <xdr:col>1</xdr:col>
                <xdr:colOff>904875</xdr:colOff>
                <xdr:row>13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0" r:id="rId11" name="Button 6">
          <controlPr defaultSize="0" print="0" autoFill="0" autoPict="0" macro="[0]!alles_löschen_S_Po2">
            <anchor moveWithCells="1" sizeWithCells="1">
              <from>
                <xdr:col>10</xdr:col>
                <xdr:colOff>0</xdr:colOff>
                <xdr:row>1</xdr:row>
                <xdr:rowOff>0</xdr:rowOff>
              </from>
              <to>
                <xdr:col>16</xdr:col>
                <xdr:colOff>0</xdr:colOff>
                <xdr:row>4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unbelasteter Spannungsteiler 1</vt:lpstr>
      <vt:lpstr>unbelasteter Spannungsteiler 2</vt:lpstr>
      <vt:lpstr>unbelasteter Spannungsteiler 3</vt:lpstr>
      <vt:lpstr>belasteter Spannungsteiler 1</vt:lpstr>
      <vt:lpstr>belasteter Potentiometer 1</vt:lpstr>
      <vt:lpstr>belasteter Potentiometer 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Gianin Schneller</dc:creator>
  <cp:keywords/>
  <dc:description/>
  <cp:lastModifiedBy>Janick Zanolari</cp:lastModifiedBy>
  <cp:revision/>
  <dcterms:created xsi:type="dcterms:W3CDTF">2023-03-08T11:01:05Z</dcterms:created>
  <dcterms:modified xsi:type="dcterms:W3CDTF">2024-03-20T20:36:33Z</dcterms:modified>
  <cp:category/>
  <cp:contentStatus/>
</cp:coreProperties>
</file>